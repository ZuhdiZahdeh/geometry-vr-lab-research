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e2ba7cb5aab4829" /></Relationships>
</file>

<file path=xl/workbook.xml><?xml version="1.0" encoding="utf-8"?>
<x:workbook xmlns:x="http://schemas.openxmlformats.org/spreadsheetml/2006/main">
  <x:sheets>
    <x:sheet xmlns:r="http://schemas.openxmlformats.org/officeDocument/2006/relationships" name="ملخص الجرد" sheetId="1" r:id="R51b4607d877244c2"/>
    <x:sheet xmlns:r="http://schemas.openxmlformats.org/officeDocument/2006/relationships" name="خريطة المحتوى" sheetId="2" r:id="R2670a27ca3f6407e"/>
    <x:sheet xmlns:r="http://schemas.openxmlformats.org/officeDocument/2006/relationships" name="الجداول" sheetId="3" r:id="Ra6e5838118c74db3"/>
    <x:sheet xmlns:r="http://schemas.openxmlformats.org/officeDocument/2006/relationships" name="الصور" sheetId="4" r:id="R50283a014edf4ab6"/>
    <x:sheet xmlns:r="http://schemas.openxmlformats.org/officeDocument/2006/relationships" name="الفيديو" sheetId="5" r:id="R2875db05f06d4324"/>
    <x:sheet xmlns:r="http://schemas.openxmlformats.org/officeDocument/2006/relationships" name="الملفات" sheetId="6" r:id="R1bc1a295979e4d77"/>
    <x:sheet xmlns:r="http://schemas.openxmlformats.org/officeDocument/2006/relationships" name="مواد الاستكمال" sheetId="7" r:id="R7e33d936ae9846f4"/>
    <x:sheet xmlns:r="http://schemas.openxmlformats.org/officeDocument/2006/relationships" name="المراجع" sheetId="8" r:id="Raa4da668d3224895"/>
    <x:sheet xmlns:r="http://schemas.openxmlformats.org/officeDocument/2006/relationships" name="تغطية المصدر" sheetId="9" r:id="R3cb8c57ab70d475e"/>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0"/>
    <x:numFmt numFmtId="202" formatCode="0.0"/>
  </x:numFmts>
  <x:fonts count="8">
    <x:font>
      <x:sz val="11"/>
      <x:name val="Carlito"/>
    </x:font>
    <x:font>
      <x:sz val="10"/>
      <x:color rgb="FF202A35"/>
      <x:name val="DejaVu Sans"/>
    </x:font>
    <x:font>
      <x:b/>
      <x:sz val="16"/>
      <x:color rgb="FF23364D"/>
      <x:name val="DejaVu Sans"/>
    </x:font>
    <x:font>
      <x:b/>
      <x:sz val="10"/>
      <x:color rgb="FFFFFFFF"/>
      <x:name val="DejaVu Sans"/>
    </x:font>
    <x:font>
      <x:sz val="9"/>
      <x:color rgb="FF202A35"/>
      <x:name val="DejaVu Sans Mono"/>
    </x:font>
    <x:font>
      <x:sz val="11"/>
      <x:color rgb="FF202A35"/>
      <x:name val="DejaVu Sans"/>
    </x:font>
    <x:font>
      <x:b/>
      <x:sz val="20"/>
      <x:color rgb="FF23364D"/>
      <x:name val="DejaVu Sans"/>
    </x:font>
    <x:font>
      <x:b/>
      <x:sz val="11"/>
      <x:color rgb="FFFFFFFF"/>
      <x:name val="DejaVu Sans"/>
    </x:font>
  </x:fonts>
  <x:fills count="5">
    <x:fill>
      <x:patternFill patternType="none"/>
    </x:fill>
    <x:fill>
      <x:patternFill patternType="gray125"/>
    </x:fill>
    <x:fill>
      <x:patternFill patternType="solid">
        <x:fgColor rgb="FF23364D"/>
      </x:patternFill>
    </x:fill>
    <x:fill>
      <x:patternFill patternType="solid">
        <x:fgColor rgb="FFF0F4F7"/>
      </x:patternFill>
    </x:fill>
    <x:fill>
      <x:patternFill patternType="solid">
        <x:fgColor rgb="FFFFF0CE"/>
      </x:patternFill>
    </x:fill>
  </x:fills>
  <x:borders count="10">
    <x:border>
      <x:left/>
      <x:right/>
      <x:top/>
      <x:bottom/>
      <x:diagonal/>
    </x:border>
    <x:border>
      <x:left/>
      <x:right style="thin">
        <x:color rgb="FFD5DDE4"/>
      </x:right>
      <x:top/>
      <x:bottom style="thin">
        <x:color rgb="FFD5DDE4"/>
      </x:bottom>
      <x:diagonal/>
    </x:border>
    <x:border>
      <x:left style="thin">
        <x:color rgb="FFD5DDE4"/>
      </x:left>
      <x:right style="thin">
        <x:color rgb="FFD5DDE4"/>
      </x:right>
      <x:top/>
      <x:bottom style="thin">
        <x:color rgb="FFD5DDE4"/>
      </x:bottom>
      <x:diagonal/>
    </x:border>
    <x:border>
      <x:left style="thin">
        <x:color rgb="FFD5DDE4"/>
      </x:left>
      <x:right/>
      <x:top/>
      <x:bottom style="thin">
        <x:color rgb="FFD5DDE4"/>
      </x:bottom>
      <x:diagonal/>
    </x:border>
    <x:border>
      <x:left/>
      <x:right style="thin">
        <x:color rgb="FFD5DDE4"/>
      </x:right>
      <x:top style="thin">
        <x:color rgb="FFD5DDE4"/>
      </x:top>
      <x:bottom style="thin">
        <x:color rgb="FFD5DDE4"/>
      </x:bottom>
      <x:diagonal/>
    </x:border>
    <x:border>
      <x:left style="thin">
        <x:color rgb="FFD5DDE4"/>
      </x:left>
      <x:right style="thin">
        <x:color rgb="FFD5DDE4"/>
      </x:right>
      <x:top style="thin">
        <x:color rgb="FFD5DDE4"/>
      </x:top>
      <x:bottom style="thin">
        <x:color rgb="FFD5DDE4"/>
      </x:bottom>
      <x:diagonal/>
    </x:border>
    <x:border>
      <x:left style="thin">
        <x:color rgb="FFD5DDE4"/>
      </x:left>
      <x:right/>
      <x:top style="thin">
        <x:color rgb="FFD5DDE4"/>
      </x:top>
      <x:bottom style="thin">
        <x:color rgb="FFD5DDE4"/>
      </x:bottom>
      <x:diagonal/>
    </x:border>
    <x:border>
      <x:left/>
      <x:right style="thin">
        <x:color rgb="FFD5DDE4"/>
      </x:right>
      <x:top style="thin">
        <x:color rgb="FFD5DDE4"/>
      </x:top>
      <x:bottom/>
      <x:diagonal/>
    </x:border>
    <x:border>
      <x:left style="thin">
        <x:color rgb="FFD5DDE4"/>
      </x:left>
      <x:right style="thin">
        <x:color rgb="FFD5DDE4"/>
      </x:right>
      <x:top style="thin">
        <x:color rgb="FFD5DDE4"/>
      </x:top>
      <x:bottom/>
      <x:diagonal/>
    </x:border>
    <x:border>
      <x:left style="thin">
        <x:color rgb="FFD5DDE4"/>
      </x:left>
      <x:right/>
      <x:top style="thin">
        <x:color rgb="FFD5DDE4"/>
      </x:top>
      <x:bottom/>
      <x:diagonal/>
    </x:border>
  </x:borders>
  <x:cellStyleXfs count="1">
    <x:xf numFmtId="0" fontId="0" fillId="0" borderId="0"/>
  </x:cellStyleXfs>
  <x:cellXfs count="67">
    <x:xf numFmtId="0" fontId="0" fillId="0" borderId="0" xfId="0"/>
    <x:xf numFmtId="0" fontId="1" fillId="0" borderId="0" xfId="0" applyNumberFormat="1" applyFont="1" applyFill="1" applyBorder="1"/>
    <x:xf numFmtId="0" fontId="1" fillId="0" borderId="0" xfId="0" applyNumberFormat="1" applyFont="1" applyFill="1" applyBorder="1" applyAlignment="1">
      <x:alignment horizontal="right"/>
    </x:xf>
    <x:xf numFmtId="0" fontId="1" fillId="0" borderId="0" xfId="0" applyNumberFormat="1" applyFont="1" applyFill="1" applyBorder="1" applyAlignment="1">
      <x:alignment horizontal="right" vertical="center"/>
    </x:xf>
    <x:xf numFmtId="0" fontId="1" fillId="0" borderId="0" xfId="0" applyNumberFormat="1" applyFont="1" applyFill="1" applyBorder="1" applyAlignment="1">
      <x:alignment horizontal="right" vertical="center" wrapText="1"/>
    </x:xf>
    <x:xf numFmtId="0" fontId="2" fillId="0" borderId="0" xfId="0" applyNumberFormat="1" applyFont="1" applyFill="1" applyBorder="1" applyAlignment="1">
      <x:alignment horizontal="right" vertical="center" wrapText="1"/>
    </x:xf>
    <x:xf numFmtId="0" fontId="1" fillId="2" borderId="0" xfId="0" applyNumberFormat="1" applyFont="1" applyFill="1" applyBorder="1" applyAlignment="1">
      <x:alignment horizontal="right" vertical="center" wrapText="1"/>
    </x:xf>
    <x:xf numFmtId="0" fontId="3" fillId="2" borderId="0" xfId="0" applyNumberFormat="1" applyFont="1" applyFill="1" applyBorder="1" applyAlignment="1">
      <x:alignment horizontal="right" vertical="center" wrapText="1"/>
    </x:xf>
    <x:xf numFmtId="0" fontId="1" fillId="3" borderId="0" xfId="0" applyNumberFormat="1" applyFont="1" applyFill="1" applyBorder="1" applyAlignment="1">
      <x:alignment horizontal="right" vertical="center" wrapText="1"/>
    </x:xf>
    <x:xf numFmtId="0" fontId="3" fillId="2" borderId="1" xfId="0" applyNumberFormat="1" applyFont="1" applyFill="1" applyBorder="1" applyAlignment="1">
      <x:alignment horizontal="right" vertical="center" wrapText="1"/>
    </x:xf>
    <x:xf numFmtId="0" fontId="3" fillId="2" borderId="2" xfId="0" applyNumberFormat="1" applyFont="1" applyFill="1" applyBorder="1" applyAlignment="1">
      <x:alignment horizontal="right" vertical="center" wrapText="1"/>
    </x:xf>
    <x:xf numFmtId="0" fontId="3" fillId="2" borderId="3" xfId="0" applyNumberFormat="1" applyFont="1" applyFill="1" applyBorder="1" applyAlignment="1">
      <x:alignment horizontal="right" vertical="center" wrapText="1"/>
    </x:xf>
    <x:xf numFmtId="0" fontId="1" fillId="0" borderId="4" xfId="0" applyNumberFormat="1" applyFont="1" applyFill="1" applyBorder="1" applyAlignment="1">
      <x:alignment horizontal="right" vertical="center" wrapText="1"/>
    </x:xf>
    <x:xf numFmtId="0" fontId="1" fillId="0" borderId="5" xfId="0" applyNumberFormat="1" applyFont="1" applyFill="1" applyBorder="1" applyAlignment="1">
      <x:alignment horizontal="right" vertical="center" wrapText="1"/>
    </x:xf>
    <x:xf numFmtId="0" fontId="1" fillId="0" borderId="6" xfId="0" applyNumberFormat="1" applyFont="1" applyFill="1" applyBorder="1" applyAlignment="1">
      <x:alignment horizontal="right" vertical="center" wrapText="1"/>
    </x:xf>
    <x:xf numFmtId="0" fontId="1" fillId="3" borderId="4" xfId="0" applyNumberFormat="1" applyFont="1" applyFill="1" applyBorder="1" applyAlignment="1">
      <x:alignment horizontal="right" vertical="center" wrapText="1"/>
    </x:xf>
    <x:xf numFmtId="0" fontId="1" fillId="3" borderId="5" xfId="0" applyNumberFormat="1" applyFont="1" applyFill="1" applyBorder="1" applyAlignment="1">
      <x:alignment horizontal="right" vertical="center" wrapText="1"/>
    </x:xf>
    <x:xf numFmtId="0" fontId="1" fillId="3" borderId="6" xfId="0" applyNumberFormat="1" applyFont="1" applyFill="1" applyBorder="1" applyAlignment="1">
      <x:alignment horizontal="right" vertical="center" wrapText="1"/>
    </x:xf>
    <x:xf numFmtId="0" fontId="1" fillId="3" borderId="7" xfId="0" applyNumberFormat="1" applyFont="1" applyFill="1" applyBorder="1" applyAlignment="1">
      <x:alignment horizontal="right" vertical="center" wrapText="1"/>
    </x:xf>
    <x:xf numFmtId="0" fontId="1" fillId="3" borderId="8" xfId="0" applyNumberFormat="1" applyFont="1" applyFill="1" applyBorder="1" applyAlignment="1">
      <x:alignment horizontal="right" vertical="center" wrapText="1"/>
    </x:xf>
    <x:xf numFmtId="0" fontId="1" fillId="3" borderId="9" xfId="0" applyNumberFormat="1" applyFont="1" applyFill="1" applyBorder="1" applyAlignment="1">
      <x:alignment horizontal="right" vertical="center" wrapText="1"/>
    </x:xf>
    <x:xf numFmtId="0" fontId="1" fillId="0" borderId="4" xfId="0" applyNumberFormat="1" applyFont="1" applyFill="1" applyBorder="1" applyAlignment="1">
      <x:alignment horizontal="left" vertical="center" wrapText="1"/>
    </x:xf>
    <x:xf numFmtId="0" fontId="1" fillId="3" borderId="4" xfId="0" applyNumberFormat="1" applyFont="1" applyFill="1" applyBorder="1" applyAlignment="1">
      <x:alignment horizontal="left" vertical="center" wrapText="1"/>
    </x:xf>
    <x:xf numFmtId="0" fontId="1" fillId="3" borderId="7" xfId="0" applyNumberFormat="1" applyFont="1" applyFill="1" applyBorder="1" applyAlignment="1">
      <x:alignment horizontal="left" vertical="center" wrapText="1"/>
    </x:xf>
    <x:xf numFmtId="200" fontId="1" fillId="0" borderId="5" xfId="0" applyNumberFormat="1" applyFont="1" applyFill="1" applyBorder="1" applyAlignment="1">
      <x:alignment horizontal="right" vertical="center" wrapText="1"/>
    </x:xf>
    <x:xf numFmtId="200" fontId="1" fillId="3" borderId="5" xfId="0" applyNumberFormat="1" applyFont="1" applyFill="1" applyBorder="1" applyAlignment="1">
      <x:alignment horizontal="right" vertical="center" wrapText="1"/>
    </x:xf>
    <x:xf numFmtId="200" fontId="1" fillId="3" borderId="8" xfId="0" applyNumberFormat="1" applyFont="1" applyFill="1" applyBorder="1" applyAlignment="1">
      <x:alignment horizontal="right" vertical="center" wrapText="1"/>
    </x:xf>
    <x:xf numFmtId="200" fontId="1" fillId="0" borderId="5" xfId="0" applyNumberFormat="1" applyFont="1" applyFill="1" applyBorder="1" applyAlignment="1">
      <x:alignment horizontal="center" vertical="center" wrapText="1"/>
    </x:xf>
    <x:xf numFmtId="200" fontId="1" fillId="3" borderId="5" xfId="0" applyNumberFormat="1" applyFont="1" applyFill="1" applyBorder="1" applyAlignment="1">
      <x:alignment horizontal="center" vertical="center" wrapText="1"/>
    </x:xf>
    <x:xf numFmtId="200" fontId="1" fillId="3" borderId="8" xfId="0" applyNumberFormat="1" applyFont="1" applyFill="1" applyBorder="1" applyAlignment="1">
      <x:alignment horizontal="center" vertical="center" wrapText="1"/>
    </x:xf>
    <x:xf numFmtId="0" fontId="1" fillId="0" borderId="7" xfId="0" applyNumberFormat="1" applyFont="1" applyFill="1" applyBorder="1" applyAlignment="1">
      <x:alignment horizontal="right" vertical="center" wrapText="1"/>
    </x:xf>
    <x:xf numFmtId="0" fontId="1" fillId="0" borderId="8" xfId="0" applyNumberFormat="1" applyFont="1" applyFill="1" applyBorder="1" applyAlignment="1">
      <x:alignment horizontal="right" vertical="center" wrapText="1"/>
    </x:xf>
    <x:xf numFmtId="0" fontId="1" fillId="0" borderId="9" xfId="0" applyNumberFormat="1" applyFont="1" applyFill="1" applyBorder="1" applyAlignment="1">
      <x:alignment horizontal="right" vertical="center" wrapText="1"/>
    </x:xf>
    <x:xf numFmtId="0" fontId="1" fillId="0" borderId="7" xfId="0" applyNumberFormat="1" applyFont="1" applyFill="1" applyBorder="1" applyAlignment="1">
      <x:alignment horizontal="left" vertical="center" wrapText="1"/>
    </x:xf>
    <x:xf numFmtId="200" fontId="1" fillId="0" borderId="8" xfId="0" applyNumberFormat="1" applyFont="1" applyFill="1" applyBorder="1" applyAlignment="1">
      <x:alignment horizontal="right" vertical="center" wrapText="1"/>
    </x:xf>
    <x:xf numFmtId="200" fontId="1" fillId="0" borderId="8" xfId="0" applyNumberFormat="1" applyFont="1" applyFill="1" applyBorder="1" applyAlignment="1">
      <x:alignment horizontal="center" vertical="center" wrapText="1"/>
    </x:xf>
    <x:xf numFmtId="0" fontId="1" fillId="0" borderId="6" xfId="0" applyNumberFormat="1" applyFont="1" applyFill="1" applyBorder="1" applyAlignment="1">
      <x:alignment horizontal="right" vertical="center" wrapText="0"/>
    </x:xf>
    <x:xf numFmtId="0" fontId="1" fillId="3" borderId="6" xfId="0" applyNumberFormat="1" applyFont="1" applyFill="1" applyBorder="1" applyAlignment="1">
      <x:alignment horizontal="right" vertical="center" wrapText="0"/>
    </x:xf>
    <x:xf numFmtId="0" fontId="1" fillId="0" borderId="9" xfId="0" applyNumberFormat="1" applyFont="1" applyFill="1" applyBorder="1" applyAlignment="1">
      <x:alignment horizontal="right" vertical="center" wrapText="0"/>
    </x:xf>
    <x:xf numFmtId="0" fontId="4" fillId="0" borderId="6" xfId="0" applyNumberFormat="1" applyFont="1" applyFill="1" applyBorder="1" applyAlignment="1">
      <x:alignment horizontal="right" vertical="center" wrapText="0"/>
    </x:xf>
    <x:xf numFmtId="0" fontId="4" fillId="3" borderId="6" xfId="0" applyNumberFormat="1" applyFont="1" applyFill="1" applyBorder="1" applyAlignment="1">
      <x:alignment horizontal="right" vertical="center" wrapText="0"/>
    </x:xf>
    <x:xf numFmtId="0" fontId="4" fillId="0" borderId="9" xfId="0" applyNumberFormat="1" applyFont="1" applyFill="1" applyBorder="1" applyAlignment="1">
      <x:alignment horizontal="right" vertical="center" wrapText="0"/>
    </x:xf>
    <x:xf numFmtId="201" fontId="1" fillId="0" borderId="5" xfId="0" applyNumberFormat="1" applyFont="1" applyFill="1" applyBorder="1" applyAlignment="1">
      <x:alignment horizontal="right" vertical="center" wrapText="1"/>
    </x:xf>
    <x:xf numFmtId="201" fontId="1" fillId="3" borderId="5" xfId="0" applyNumberFormat="1" applyFont="1" applyFill="1" applyBorder="1" applyAlignment="1">
      <x:alignment horizontal="right" vertical="center" wrapText="1"/>
    </x:xf>
    <x:xf numFmtId="201" fontId="1" fillId="3" borderId="8" xfId="0" applyNumberFormat="1" applyFont="1" applyFill="1" applyBorder="1" applyAlignment="1">
      <x:alignment horizontal="right" vertical="center" wrapText="1"/>
    </x:xf>
    <x:xf numFmtId="201" fontId="1" fillId="0" borderId="5" xfId="0" applyNumberFormat="1" applyFont="1" applyFill="1" applyBorder="1" applyAlignment="1">
      <x:alignment horizontal="center" vertical="center" wrapText="1"/>
    </x:xf>
    <x:xf numFmtId="201" fontId="1" fillId="3" borderId="5" xfId="0" applyNumberFormat="1" applyFont="1" applyFill="1" applyBorder="1" applyAlignment="1">
      <x:alignment horizontal="center" vertical="center" wrapText="1"/>
    </x:xf>
    <x:xf numFmtId="201" fontId="1" fillId="3" borderId="8" xfId="0" applyNumberFormat="1" applyFont="1" applyFill="1" applyBorder="1" applyAlignment="1">
      <x:alignment horizontal="center" vertical="center" wrapText="1"/>
    </x:xf>
    <x:xf numFmtId="0" fontId="1" fillId="3" borderId="9" xfId="0" applyNumberFormat="1" applyFont="1" applyFill="1" applyBorder="1" applyAlignment="1">
      <x:alignment horizontal="right" vertical="center" wrapText="0"/>
    </x:xf>
    <x:xf numFmtId="0" fontId="4" fillId="3" borderId="9" xfId="0" applyNumberFormat="1" applyFont="1" applyFill="1" applyBorder="1" applyAlignment="1">
      <x:alignment horizontal="right" vertical="center" wrapText="0"/>
    </x:xf>
    <x:xf numFmtId="0" fontId="1" fillId="4" borderId="0" xfId="0" applyNumberFormat="1" applyFont="1" applyFill="1" applyBorder="1" applyAlignment="1">
      <x:alignment horizontal="right" vertical="center" wrapText="1"/>
    </x:xf>
    <x:xf numFmtId="0" fontId="1" fillId="4" borderId="5" xfId="0" applyNumberFormat="1" applyFont="1" applyFill="1" applyBorder="1" applyAlignment="1">
      <x:alignment horizontal="right" vertical="center" wrapText="1"/>
    </x:xf>
    <x:xf numFmtId="0" fontId="1" fillId="0" borderId="5" xfId="0" applyNumberFormat="1" applyFont="1" applyFill="1" applyBorder="1" applyAlignment="1">
      <x:alignment horizontal="left" vertical="center" wrapText="1"/>
    </x:xf>
    <x:xf numFmtId="0" fontId="1" fillId="3" borderId="5" xfId="0" applyNumberFormat="1" applyFont="1" applyFill="1" applyBorder="1" applyAlignment="1">
      <x:alignment horizontal="left" vertical="center" wrapText="1"/>
    </x:xf>
    <x:xf numFmtId="0" fontId="1" fillId="3" borderId="8" xfId="0" applyNumberFormat="1" applyFont="1" applyFill="1" applyBorder="1" applyAlignment="1">
      <x:alignment horizontal="left" vertical="center" wrapText="1"/>
    </x:xf>
    <x:xf numFmtId="0" fontId="5" fillId="0" borderId="0" xfId="0" applyNumberFormat="1" applyFont="1" applyFill="1" applyBorder="1"/>
    <x:xf numFmtId="0" fontId="5" fillId="0" borderId="0" xfId="0" applyNumberFormat="1" applyFont="1" applyFill="1" applyBorder="1" applyAlignment="1">
      <x:alignment horizontal="right"/>
    </x:xf>
    <x:xf numFmtId="0" fontId="5" fillId="0" borderId="0" xfId="0" applyNumberFormat="1" applyFont="1" applyFill="1" applyBorder="1" applyAlignment="1">
      <x:alignment horizontal="right" wrapText="1"/>
    </x:xf>
    <x:xf numFmtId="0" fontId="5" fillId="0" borderId="0" xfId="0" applyNumberFormat="1" applyFont="1" applyFill="1" applyBorder="1" applyAlignment="1">
      <x:alignment horizontal="right" vertical="center" wrapText="1"/>
    </x:xf>
    <x:xf numFmtId="0" fontId="6" fillId="0" borderId="0" xfId="0" applyNumberFormat="1" applyFont="1" applyFill="1" applyBorder="1" applyAlignment="1">
      <x:alignment horizontal="right" vertical="center" wrapText="1"/>
    </x:xf>
    <x:xf numFmtId="0" fontId="5" fillId="2" borderId="0" xfId="0" applyNumberFormat="1" applyFont="1" applyFill="1" applyBorder="1" applyAlignment="1">
      <x:alignment horizontal="right" vertical="center" wrapText="1"/>
    </x:xf>
    <x:xf numFmtId="0" fontId="7" fillId="2" borderId="0" xfId="0" applyNumberFormat="1" applyFont="1" applyFill="1" applyBorder="1" applyAlignment="1">
      <x:alignment horizontal="right" vertical="center" wrapText="1"/>
    </x:xf>
    <x:xf numFmtId="0" fontId="5" fillId="3" borderId="0" xfId="0" applyNumberFormat="1" applyFont="1" applyFill="1" applyBorder="1" applyAlignment="1">
      <x:alignment horizontal="right" vertical="center" wrapText="1"/>
    </x:xf>
    <x:xf numFmtId="200" fontId="5" fillId="0" borderId="0" xfId="0" applyNumberFormat="1" applyFont="1" applyFill="1" applyBorder="1" applyAlignment="1">
      <x:alignment horizontal="right" vertical="center" wrapText="1"/>
    </x:xf>
    <x:xf numFmtId="200" fontId="5" fillId="3" borderId="0" xfId="0" applyNumberFormat="1" applyFont="1" applyFill="1" applyBorder="1" applyAlignment="1">
      <x:alignment horizontal="right" vertical="center" wrapText="1"/>
    </x:xf>
    <x:xf numFmtId="202" fontId="5" fillId="3" borderId="0" xfId="0" applyNumberFormat="1" applyFont="1" applyFill="1" applyBorder="1" applyAlignment="1">
      <x:alignment horizontal="right" vertical="center" wrapText="1"/>
    </x:xf>
    <x:xf numFmtId="0" fontId="5" fillId="4" borderId="0" xfId="0" applyNumberFormat="1" applyFont="1" applyFill="1" applyBorder="1" applyAlignment="1">
      <x:alignment horizontal="righ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5c0d782f7fa412f" /><Relationship Type="http://schemas.openxmlformats.org/officeDocument/2006/relationships/theme" Target="/xl/theme/theme1.xml" Id="Rba2dab5c4a454bc4" /><Relationship Type="http://schemas.openxmlformats.org/officeDocument/2006/relationships/sharedStrings" Target="/xl/sharedStrings.xml" Id="R1f5b93ca3d944535" /><Relationship Type="http://schemas.openxmlformats.org/officeDocument/2006/relationships/worksheet" Target="/xl/worksheets/sheet1.xml" Id="R51b4607d877244c2" /><Relationship Type="http://schemas.openxmlformats.org/officeDocument/2006/relationships/worksheet" Target="/xl/worksheets/sheet2.xml" Id="R2670a27ca3f6407e" /><Relationship Type="http://schemas.openxmlformats.org/officeDocument/2006/relationships/worksheet" Target="/xl/worksheets/sheet3.xml" Id="Ra6e5838118c74db3" /><Relationship Type="http://schemas.openxmlformats.org/officeDocument/2006/relationships/worksheet" Target="/xl/worksheets/sheet4.xml" Id="R50283a014edf4ab6" /><Relationship Type="http://schemas.openxmlformats.org/officeDocument/2006/relationships/worksheet" Target="/xl/worksheets/sheet5.xml" Id="R2875db05f06d4324" /><Relationship Type="http://schemas.openxmlformats.org/officeDocument/2006/relationships/worksheet" Target="/xl/worksheets/sheet6.xml" Id="R1bc1a295979e4d77" /><Relationship Type="http://schemas.openxmlformats.org/officeDocument/2006/relationships/worksheet" Target="/xl/worksheets/sheet7.xml" Id="R7e33d936ae9846f4" /><Relationship Type="http://schemas.openxmlformats.org/officeDocument/2006/relationships/worksheet" Target="/xl/worksheets/sheet8.xml" Id="Raa4da668d3224895" /><Relationship Type="http://schemas.openxmlformats.org/officeDocument/2006/relationships/worksheet" Target="/xl/worksheets/sheet9.xml" Id="R3cb8c57ab70d475e" /></Relationships>
</file>

<file path=xl/tables/table1.xml><?xml version="1.0" encoding="utf-8"?>
<x:table xmlns:x="http://schemas.openxmlformats.org/spreadsheetml/2006/main" id="1" name="Inventory1" displayName="Inventory1" ref="A5:M141" headerRowCount="1" totalsRowCount="0" totalsRowShown="0">
  <x:autoFilter ref="A5:M141"/>
  <x:tableColumns count="13">
    <x:tableColumn id="1" name="المعرف"/>
    <x:tableColumn id="2" name="النوع"/>
    <x:tableColumn id="3" name="العنوان في الموقع"/>
    <x:tableColumn id="4" name="العنوان في المصدر"/>
    <x:tableColumn id="5" name="بداية المصدر"/>
    <x:tableColumn id="6" name="نهاية المصدر"/>
    <x:tableColumn id="7" name="الفقرات غير الفارغة"/>
    <x:tableColumn id="8" name="الجداول التابعة"/>
    <x:tableColumn id="9" name="الصفحة"/>
    <x:tableColumn id="10" name="معرف القسم"/>
    <x:tableColumn id="11" name="الوجهة المقترحة"/>
    <x:tableColumn id="12" name="الحالة"/>
    <x:tableColumn id="13" name="الإجراء"/>
  </x:tableColumns>
  <x:tableStyleInfo name="TableStyleMedium2" showFirstColumn="0" showLastColumn="0" showRowStripes="1" showColumnStripes="0"/>
</x:table>
</file>

<file path=xl/tables/table2.xml><?xml version="1.0" encoding="utf-8"?>
<x:table xmlns:x="http://schemas.openxmlformats.org/spreadsheetml/2006/main" id="2" name="Inventory2" displayName="Inventory2" ref="A5:K28" headerRowCount="1" totalsRowCount="0" totalsRowShown="0">
  <x:autoFilter ref="A5:K28"/>
  <x:tableColumns count="11">
    <x:tableColumn id="1" name="المعرف"/>
    <x:tableColumn id="2" name="الدور"/>
    <x:tableColumn id="3" name="العنوان أو التعليق"/>
    <x:tableColumn id="4" name="الصفوف"/>
    <x:tableColumn id="5" name="الأعمدة"/>
    <x:tableColumn id="6" name="موضعه في الفصل"/>
    <x:tableColumn id="7" name="رابط الجدول المقترح"/>
    <x:tableColumn id="8" name="عناوين الأعمدة الأصلية"/>
    <x:tableColumn id="9" name="الحالة"/>
    <x:tableColumn id="10" name="إجراء التحويل"/>
    <x:tableColumn id="11" name="السياق السابق"/>
  </x:tableColumns>
  <x:tableStyleInfo name="TableStyleMedium2" showFirstColumn="0" showLastColumn="0" showRowStripes="1" showColumnStripes="0"/>
</x:table>
</file>

<file path=xl/tables/table3.xml><?xml version="1.0" encoding="utf-8"?>
<x:table xmlns:x="http://schemas.openxmlformats.org/spreadsheetml/2006/main" id="3" name="Inventory3" displayName="Inventory3" ref="A5:R174" headerRowCount="1" totalsRowCount="0" totalsRowShown="0">
  <x:autoFilter ref="A5:R174"/>
  <x:tableColumns count="18">
    <x:tableColumn id="1" name="المعرف"/>
    <x:tableColumn id="2" name="الموضوع المرئي"/>
    <x:tableColumn id="3" name="نوع المادة"/>
    <x:tableColumn id="4" name="الأرشيف أو المصدر"/>
    <x:tableColumn id="5" name="العضو أو الملف الأصلي"/>
    <x:tableColumn id="6" name="موضع المصدر"/>
    <x:tableColumn id="7" name="العرض px"/>
    <x:tableColumn id="8" name="الارتفاع px"/>
    <x:tableColumn id="9" name="الحجم بايت"/>
    <x:tableColumn id="10" name="الصيغة"/>
    <x:tableColumn id="11" name="المعرف الفريد"/>
    <x:tableColumn id="12" name="مطابقة للأصل"/>
    <x:tableColumn id="13" name="حالة النشر"/>
    <x:tableColumn id="14" name="موضع مقترح"/>
    <x:tableColumn id="15" name="المسار المقترح للصورة"/>
    <x:tableColumn id="16" name="ما تعرضه"/>
    <x:tableColumn id="17" name="حدود الدليل"/>
    <x:tableColumn id="18" name="SHA-256"/>
  </x:tableColumns>
  <x:tableStyleInfo name="TableStyleMedium2" showFirstColumn="0" showLastColumn="0" showRowStripes="1" showColumnStripes="0"/>
</x:table>
</file>

<file path=xl/tables/table4.xml><?xml version="1.0" encoding="utf-8"?>
<x:table xmlns:x="http://schemas.openxmlformats.org/spreadsheetml/2006/main" id="4" name="Inventory4" displayName="Inventory4" ref="A5:S29" headerRowCount="1" totalsRowCount="0" totalsRowShown="0">
  <x:autoFilter ref="A5:S29"/>
  <x:tableColumns count="19">
    <x:tableColumn id="1" name="المعرف"/>
    <x:tableColumn id="2" name="الموضوع أو المحتوى المرئي"/>
    <x:tableColumn id="3" name="الأرشيف أو المصدر"/>
    <x:tableColumn id="4" name="العضو أو الملف الأصلي"/>
    <x:tableColumn id="5" name="المدة ثانية"/>
    <x:tableColumn id="6" name="العرض px"/>
    <x:tableColumn id="7" name="الارتفاع px"/>
    <x:tableColumn id="8" name="الحجم بايت"/>
    <x:tableColumn id="9" name="ترميز الفيديو"/>
    <x:tableColumn id="10" name="حالة الصوت"/>
    <x:tableColumn id="11" name="المعرف الفريد"/>
    <x:tableColumn id="12" name="مطابقة للأصل"/>
    <x:tableColumn id="13" name="الوجهة المقترحة"/>
    <x:tableColumn id="14" name="المسار المقترح"/>
    <x:tableColumn id="15" name="أزمنة العينات ثانية"/>
    <x:tableColumn id="16" name="تاريخ التسجيل"/>
    <x:tableColumn id="17" name="إصدار التطبيق"/>
    <x:tableColumn id="18" name="حدود الفحص والدليل"/>
    <x:tableColumn id="19" name="SHA-256"/>
  </x:tableColumns>
  <x:tableStyleInfo name="TableStyleMedium2" showFirstColumn="0" showLastColumn="0" showRowStripes="1" showColumnStripes="0"/>
</x:table>
</file>

<file path=xl/tables/table5.xml><?xml version="1.0" encoding="utf-8"?>
<x:table xmlns:x="http://schemas.openxmlformats.org/spreadsheetml/2006/main" id="5" name="Inventory5" displayName="Inventory5" ref="A5:L27" headerRowCount="1" totalsRowCount="0" totalsRowShown="0">
  <x:autoFilter ref="A5:L27"/>
  <x:tableColumns count="12">
    <x:tableColumn id="1" name="المعرف"/>
    <x:tableColumn id="2" name="الملف أو المرجع"/>
    <x:tableColumn id="3" name="النوع"/>
    <x:tableColumn id="4" name="التوفر"/>
    <x:tableColumn id="5" name="الحجم بايت"/>
    <x:tableColumn id="6" name="أعضاء غير مجلدات أو كتل DOCX"/>
    <x:tableColumn id="7" name="عدد الصور"/>
    <x:tableColumn id="8" name="عدد الفيديو"/>
    <x:tableColumn id="9" name="الموضع أو طريقة الحفظ"/>
    <x:tableColumn id="10" name="ملاحظات"/>
    <x:tableColumn id="11" name="URL المصدر"/>
    <x:tableColumn id="12" name="SHA-256"/>
  </x:tableColumns>
  <x:tableStyleInfo name="TableStyleMedium2" showFirstColumn="0" showLastColumn="0" showRowStripes="1" showColumnStripes="0"/>
</x:table>
</file>

<file path=xl/tables/table6.xml><?xml version="1.0" encoding="utf-8"?>
<x:table xmlns:x="http://schemas.openxmlformats.org/spreadsheetml/2006/main" id="6" name="Inventory6" displayName="Inventory6" ref="A5:K29" headerRowCount="1" totalsRowCount="0" totalsRowShown="0">
  <x:autoFilter ref="A5:K29"/>
  <x:tableColumns count="11">
    <x:tableColumn id="1" name="المعرف"/>
    <x:tableColumn id="2" name="الأولوية"/>
    <x:tableColumn id="3" name="النوع"/>
    <x:tableColumn id="4" name="المادة أو المهمة"/>
    <x:tableColumn id="5" name="سبب الاستكمال"/>
    <x:tableColumn id="6" name="الموضع أو الدليل"/>
    <x:tableColumn id="7" name="الوجهة"/>
    <x:tableColumn id="8" name="المخرج المطلوب"/>
    <x:tableColumn id="9" name="الجزء"/>
    <x:tableColumn id="10" name="الجهة المقترحة"/>
    <x:tableColumn id="11" name="الحالة"/>
  </x:tableColumns>
  <x:tableStyleInfo name="TableStyleMedium2" showFirstColumn="0" showLastColumn="0" showRowStripes="1" showColumnStripes="0"/>
</x:table>
</file>

<file path=xl/tables/table7.xml><?xml version="1.0" encoding="utf-8"?>
<x:table xmlns:x="http://schemas.openxmlformats.org/spreadsheetml/2006/main" id="7" name="Inventory7" displayName="Inventory7" ref="A5:G37" headerRowCount="1" totalsRowCount="0" totalsRowShown="0">
  <x:autoFilter ref="A5:G37"/>
  <x:tableColumns count="7">
    <x:tableColumn id="1" name="المعرف"/>
    <x:tableColumn id="2" name="النوع"/>
    <x:tableColumn id="3" name="نص المرجع كما في البحث"/>
    <x:tableColumn id="4" name="رابط DOI أو المصدر"/>
    <x:tableColumn id="5" name="موضع المصدر"/>
    <x:tableColumn id="6" name="الرابط الداخلي المقترح"/>
    <x:tableColumn id="7" name="حالة التحقق"/>
  </x:tableColumns>
  <x:tableStyleInfo name="TableStyleMedium2" showFirstColumn="0" showLastColumn="0" showRowStripes="1" showColumnStripes="0"/>
</x:table>
</file>

<file path=xl/tables/table8.xml><?xml version="1.0" encoding="utf-8"?>
<x:table xmlns:x="http://schemas.openxmlformats.org/spreadsheetml/2006/main" id="8" name="Inventory8" displayName="Inventory8" ref="A5:E513" headerRowCount="1" totalsRowCount="0" totalsRowShown="0">
  <x:autoFilter ref="A5:E513"/>
  <x:tableColumns count="5">
    <x:tableColumn id="1" name="الموضع"/>
    <x:tableColumn id="2" name="النوع"/>
    <x:tableColumn id="3" name="معرف الخريطة"/>
    <x:tableColumn id="4" name="الوجهة المقترحة"/>
    <x:tableColumn id="5" name="نص الفقرة أو صفوف الجدول"/>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b2fd4f1222d450f" /></Relationships>
</file>

<file path=xl/worksheets/_rels/sheet3.xml.rels>&#65279;<?xml version="1.0" encoding="utf-8"?><Relationships xmlns="http://schemas.openxmlformats.org/package/2006/relationships"><Relationship Type="http://schemas.openxmlformats.org/officeDocument/2006/relationships/table" Target="/xl/tables/table2.xml" Id="R6b0af8b14789489e" /></Relationships>
</file>

<file path=xl/worksheets/_rels/sheet4.xml.rels>&#65279;<?xml version="1.0" encoding="utf-8"?><Relationships xmlns="http://schemas.openxmlformats.org/package/2006/relationships"><Relationship Type="http://schemas.openxmlformats.org/officeDocument/2006/relationships/table" Target="/xl/tables/table3.xml" Id="R16c22553730a4a2c" /></Relationships>
</file>

<file path=xl/worksheets/_rels/sheet5.xml.rels>&#65279;<?xml version="1.0" encoding="utf-8"?><Relationships xmlns="http://schemas.openxmlformats.org/package/2006/relationships"><Relationship Type="http://schemas.openxmlformats.org/officeDocument/2006/relationships/table" Target="/xl/tables/table4.xml" Id="Read85309f4914d60" /></Relationships>
</file>

<file path=xl/worksheets/_rels/sheet6.xml.rels>&#65279;<?xml version="1.0" encoding="utf-8"?><Relationships xmlns="http://schemas.openxmlformats.org/package/2006/relationships"><Relationship Type="http://schemas.openxmlformats.org/officeDocument/2006/relationships/table" Target="/xl/tables/table5.xml" Id="Ra2e751cae0054e8c" /></Relationships>
</file>

<file path=xl/worksheets/_rels/sheet7.xml.rels>&#65279;<?xml version="1.0" encoding="utf-8"?><Relationships xmlns="http://schemas.openxmlformats.org/package/2006/relationships"><Relationship Type="http://schemas.openxmlformats.org/officeDocument/2006/relationships/table" Target="/xl/tables/table6.xml" Id="Rcdd6802b7e214888" /></Relationships>
</file>

<file path=xl/worksheets/_rels/sheet8.xml.rels>&#65279;<?xml version="1.0" encoding="utf-8"?><Relationships xmlns="http://schemas.openxmlformats.org/package/2006/relationships"><Relationship Type="http://schemas.openxmlformats.org/officeDocument/2006/relationships/table" Target="/xl/tables/table7.xml" Id="Rbc31e0f4f6fc4318" /></Relationships>
</file>

<file path=xl/worksheets/_rels/sheet9.xml.rels>&#65279;<?xml version="1.0" encoding="utf-8"?><Relationships xmlns="http://schemas.openxmlformats.org/package/2006/relationships"><Relationship Type="http://schemas.openxmlformats.org/officeDocument/2006/relationships/table" Target="/xl/tables/table8.xml" Id="R67cf00fc127b4b3d" /></Relationships>
</file>

<file path=xl/worksheets/sheet1.xml><?xml version="1.0" encoding="utf-8"?>
<x:worksheet xmlns:x="http://schemas.openxmlformats.org/spreadsheetml/2006/main">
  <x:sheetPr>
    <x:tabColor rgb="FF0F766E"/>
  </x:sheetPr>
  <x:sheetViews>
    <x:sheetView showGridLines="0" workbookViewId="0">
      <x:pane ySplit="5" topLeftCell="A6" activePane="bottomLeft" state="frozen"/>
    </x:sheetView>
  </x:sheetViews>
  <x:sheetFormatPr defaultRowHeight="15"/>
  <x:cols>
    <x:col min="1" max="1" width="34.439998626708984" hidden="0" customWidth="1"/>
    <x:col min="2" max="2" width="17.780000686645508" hidden="0" customWidth="1"/>
    <x:col min="3" max="3" width="18.889999389648438" hidden="0" customWidth="1"/>
    <x:col min="4" max="4" width="60" hidden="0" customWidth="1"/>
    <x:col min="5" max="5" width="2.2200000286102295" hidden="0" customWidth="1"/>
    <x:col min="6" max="6" width="2.2200000286102295" hidden="0" customWidth="1"/>
  </x:cols>
  <x:sheetData>
    <x:row r="1" ht="40" customHeight="1">
      <x:c r="A1" s="59" t="str">
        <x:v>خريطة المحتوى وسجل المواد</x:v>
      </x:c>
      <x:c r="B1" s="59"/>
      <x:c r="C1" s="59"/>
      <x:c r="D1" s="59"/>
      <x:c r="E1" s="59"/>
      <x:c r="F1" s="59"/>
    </x:row>
    <x:row r="2" ht="35" customHeight="1">
      <x:c r="A2" s="58" t="str">
        <x:v>تصميم وتطوير مختبر الهندسة بالواقع الافتراضي</x:v>
      </x:c>
      <x:c r="B2" s="58"/>
      <x:c r="C2" s="58"/>
      <x:c r="D2" s="58"/>
      <x:c r="E2" s="58"/>
      <x:c r="F2" s="58"/>
    </x:row>
    <x:row r="3" ht="28" customHeight="1">
      <x:c r="A3" s="58" t="str">
        <x:v>geometry-vr-lab-research — الجرد بتاريخ 2026-10-04</x:v>
      </x:c>
      <x:c r="B3" s="58"/>
      <x:c r="C3" s="58"/>
      <x:c r="D3" s="58"/>
      <x:c r="E3" s="58"/>
      <x:c r="F3" s="58"/>
    </x:row>
    <x:row r="4">
      <x:c r="A4" s="58"/>
      <x:c r="B4" s="58"/>
      <x:c r="C4" s="58"/>
      <x:c r="D4" s="58"/>
      <x:c r="E4" s="58"/>
      <x:c r="F4" s="58"/>
    </x:row>
    <x:row r="5">
      <x:c r="A5" s="61" t="str">
        <x:v>المادة</x:v>
      </x:c>
      <x:c r="B5" s="61" t="str">
        <x:v>الإجمالي المسجل</x:v>
      </x:c>
      <x:c r="C5" s="61" t="str">
        <x:v>الفريدة/التفصيل</x:v>
      </x:c>
      <x:c r="D5" s="61" t="str">
        <x:v>التفسير</x:v>
      </x:c>
      <x:c r="E5" s="58"/>
      <x:c r="F5" s="58"/>
    </x:row>
    <x:row r="6" ht="52" customHeight="1">
      <x:c r="A6" s="58" t="str">
        <x:v>الفصول</x:v>
      </x:c>
      <x:c r="B6" s="63" t="n">
        <x:f>COUNTIF('خريطة المحتوى'!B6:B141,"فصل")</x:f>
        <x:v>5</x:v>
      </x:c>
      <x:c r="C6" s="63"/>
      <x:c r="D6" s="58" t="str">
        <x:v>صفحة واحدة لكل فصل</x:v>
      </x:c>
      <x:c r="E6" s="58"/>
      <x:c r="F6" s="58"/>
    </x:row>
    <x:row r="7" ht="52" customHeight="1">
      <x:c r="A7" s="62" t="str">
        <x:v>الأقسام الرئيسية</x:v>
      </x:c>
      <x:c r="B7" s="64" t="n">
        <x:f>COUNTIF('خريطة المحتوى'!B6:B141,"قسم")</x:f>
        <x:v>53</x:v>
      </x:c>
      <x:c r="C7" s="64"/>
      <x:c r="D7" s="62" t="str">
        <x:v>53 قسمًا موجودًا في المصدر</x:v>
      </x:c>
      <x:c r="E7" s="58"/>
      <x:c r="F7" s="58"/>
    </x:row>
    <x:row r="8" ht="52" customHeight="1">
      <x:c r="A8" s="58" t="str">
        <x:v>الأقسام الفرعية</x:v>
      </x:c>
      <x:c r="B8" s="63" t="n">
        <x:f>COUNTIF('خريطة المحتوى'!B6:B141,"قسم فرعي")</x:f>
        <x:v>30</x:v>
      </x:c>
      <x:c r="C8" s="63"/>
      <x:c r="D8" s="58" t="str">
        <x:v>روابط داخلية مستقرة</x:v>
      </x:c>
      <x:c r="E8" s="58"/>
      <x:c r="F8" s="58"/>
    </x:row>
    <x:row r="9" ht="52" customHeight="1">
      <x:c r="A9" s="62" t="str">
        <x:v>الملاحق الحالية</x:v>
      </x:c>
      <x:c r="B9" s="64" t="n">
        <x:f>COUNTIF('خريطة المحتوى'!B6:B141,"ملحق")</x:f>
        <x:v>9</x:v>
      </x:c>
      <x:c r="C9" s="64"/>
      <x:c r="D9" s="62" t="str">
        <x:v>أ–ط؛ الملحق ي مقترح للتطوير اللاحق</x:v>
      </x:c>
      <x:c r="E9" s="58"/>
      <x:c r="F9" s="58"/>
    </x:row>
    <x:row r="10" ht="52" customHeight="1">
      <x:c r="A10" s="58" t="str">
        <x:v>جداول Word</x:v>
      </x:c>
      <x:c r="B10" s="63" t="n">
        <x:f>COUNTA('الجداول'!A6:A28)</x:f>
        <x:v>23</x:v>
      </x:c>
      <x:c r="C10" s="63" t="n">
        <x:v>8</x:v>
      </x:c>
      <x:c r="D10" s="58" t="str">
        <x:v>الثمانية المرقمة علمية؛ البقية بيانات أو تنسيق</x:v>
      </x:c>
      <x:c r="E10" s="58"/>
      <x:c r="F10" s="58"/>
    </x:row>
    <x:row r="11" ht="52" customHeight="1">
      <x:c r="A11" s="62" t="str">
        <x:v>الصور</x:v>
      </x:c>
      <x:c r="B11" s="64" t="n">
        <x:f>COUNTA('الصور'!A6:A174)</x:f>
        <x:v>169</x:v>
      </x:c>
      <x:c r="C11" s="64" t="n">
        <x:f>COUNTBLANK('الصور'!L6:L174)</x:f>
        <x:v>144</x:v>
      </x:c>
      <x:c r="D11" s="62" t="str">
        <x:v>159 في ZIP + 9 داخل البحث + لقطة مرفقة؛ الفريدة حسب SHA-256</x:v>
      </x:c>
      <x:c r="E11" s="58"/>
      <x:c r="F11" s="58"/>
    </x:row>
    <x:row r="12" ht="52" customHeight="1">
      <x:c r="A12" s="58" t="str">
        <x:v>الفيديوهات</x:v>
      </x:c>
      <x:c r="B12" s="63" t="n">
        <x:f>COUNTA('الفيديو'!A6:A29)</x:f>
        <x:v>24</x:v>
      </x:c>
      <x:c r="C12" s="63" t="n">
        <x:f>COUNTBLANK('الفيديو'!L6:L29)</x:f>
        <x:v>23</x:v>
      </x:c>
      <x:c r="D12" s="58" t="str">
        <x:v>7 مباشرة + 17 داخل ZIP؛ تحفظ نسخ المطابقة في السجل</x:v>
      </x:c>
      <x:c r="E12" s="58"/>
      <x:c r="F12" s="58"/>
    </x:row>
    <x:row r="13" ht="52" customHeight="1">
      <x:c r="A13" s="62" t="str">
        <x:v>مدة الفيديو المسجلة (دقيقة)</x:v>
      </x:c>
      <x:c r="B13" s="65" t="n">
        <x:f>SUM('الفيديو'!E6:E29)/60</x:f>
        <x:v>51.135493533333346</x:v>
      </x:c>
      <x:c r="C13" s="64"/>
      <x:c r="D13" s="62" t="str">
        <x:v>مجموع جميع الملفات بما فيها النسخة المطابقة</x:v>
      </x:c>
      <x:c r="E13" s="58"/>
      <x:c r="F13" s="58"/>
    </x:row>
    <x:row r="14" ht="52" customHeight="1">
      <x:c r="A14" s="58" t="str">
        <x:v>المرفقات الأصلية</x:v>
      </x:c>
      <x:c r="B14" s="63" t="n">
        <x:f>COUNTIF('الملفات'!D6:D27,"مرفق محلي متاح")</x:f>
        <x:v>15</x:v>
      </x:c>
      <x:c r="C14" s="63"/>
      <x:c r="D14" s="58" t="str">
        <x:v>البحث والخطة والصورة و7 فيديوهات و5 أرشيفات</x:v>
      </x:c>
      <x:c r="E14" s="58"/>
      <x:c r="F14" s="58"/>
    </x:row>
    <x:row r="15" ht="52" customHeight="1">
      <x:c r="A15" s="62" t="str">
        <x:v>المراجع</x:v>
      </x:c>
      <x:c r="B15" s="64" t="n">
        <x:f>COUNTA('المراجع'!A6:A37)</x:f>
        <x:v>32</x:v>
      </x:c>
      <x:c r="C15" s="64" t="n">
        <x:v>21</x:v>
      </x:c>
      <x:c r="D15" s="62" t="str">
        <x:v>21 علميًا و11 تقنيًا/منتجًا؛ التحقق الخارجي في الجزء 6</x:v>
      </x:c>
      <x:c r="E15" s="58"/>
      <x:c r="F15" s="58"/>
    </x:row>
    <x:row r="16" ht="52" customHeight="1">
      <x:c r="A16" s="58" t="str">
        <x:v>مواد الاستكمال المفتوحة</x:v>
      </x:c>
      <x:c r="B16" s="63" t="n">
        <x:f>COUNTIF('مواد الاستكمال'!K6:K29,"مفتوح")</x:f>
        <x:v>24</x:v>
      </x:c>
      <x:c r="C16" s="63" t="n">
        <x:f>COUNTIFS('مواد الاستكمال'!B6:B29,"عاجلة",'مواد الاستكمال'!K6:K29,"مفتوح")</x:f>
        <x:v>8</x:v>
      </x:c>
      <x:c r="D16" s="58" t="str">
        <x:v>العمود الثالث عدد العاجلة؛ يمكن تحديث حقل الحالة في سجل الاستكمال</x:v>
      </x:c>
      <x:c r="E16" s="58"/>
      <x:c r="F16" s="58"/>
    </x:row>
    <x:row r="17">
      <x:c r="A17" s="58"/>
      <x:c r="B17" s="58"/>
      <x:c r="C17" s="58"/>
      <x:c r="D17" s="58"/>
      <x:c r="E17" s="58"/>
      <x:c r="F17" s="58"/>
    </x:row>
    <x:row r="18" ht="46" customHeight="1">
      <x:c r="A18" s="66" t="str">
        <x:v>الأولوية التالية: تثبيت إصدار المشهد المدمج، وتسجيله بالصوت، وتعبئة نتائج الاختبار وسجل التطوير.</x:v>
      </x:c>
      <x:c r="B18" s="66"/>
      <x:c r="C18" s="66"/>
      <x:c r="D18" s="66"/>
      <x:c r="E18" s="66"/>
      <x:c r="F18" s="66"/>
    </x:row>
    <x:row r="19">
      <x:c r="A19" s="58"/>
      <x:c r="B19" s="58"/>
      <x:c r="C19" s="58"/>
      <x:c r="D19" s="58"/>
      <x:c r="E19" s="58"/>
      <x:c r="F19" s="58"/>
    </x:row>
    <x:row r="20" ht="40" customHeight="1">
      <x:c r="A20" s="58" t="str">
        <x:v>المسارات وجهات مقترحة داخل الموقع ولم تُنشر بعد.</x:v>
      </x:c>
      <x:c r="B20" s="58"/>
      <x:c r="C20" s="58"/>
      <x:c r="D20" s="58"/>
      <x:c r="E20" s="58"/>
      <x:c r="F20" s="58"/>
    </x:row>
    <x:row r="21" ht="40" customHeight="1">
      <x:c r="A21" s="58" t="str">
        <x:v>P0001 هو أول paragraph في Word مع احتساب الفقرات الفارغة؛ T001 هو أول جدول حسب ترتيب الوثيقة.</x:v>
      </x:c>
      <x:c r="B21" s="58"/>
      <x:c r="C21" s="58"/>
      <x:c r="D21" s="58"/>
      <x:c r="E21" s="58"/>
      <x:c r="F21" s="58"/>
    </x:row>
    <x:row r="22" ht="40" customHeight="1">
      <x:c r="A22" s="58" t="str">
        <x:v>الفريدة تعني تطابق SHA-256 للبايتات؛ الصور المتشابهة بصريًا لا تُدمج تلقائيًا.</x:v>
      </x:c>
      <x:c r="B22" s="58"/>
      <x:c r="C22" s="58"/>
      <x:c r="D22" s="58"/>
      <x:c r="E22" s="58"/>
      <x:c r="F22" s="58"/>
    </x:row>
    <x:row r="23" ht="40" customHeight="1">
      <x:c r="A23" s="58" t="str">
        <x:v>عُوينت الصور وعينات الفيديو؛ لم تُشاهد التسجيلات متصلة بالكامل ولم يُستمع إلى الصوت.</x:v>
      </x:c>
      <x:c r="B23" s="58"/>
      <x:c r="C23" s="58"/>
      <x:c r="D23" s="58"/>
      <x:c r="E23" s="58"/>
      <x:c r="F23" s="58"/>
    </x:row>
    <x:row r="24" ht="40" customHeight="1">
      <x:c r="A24" s="58" t="str">
        <x:v>إفادة الباحث عن اختبار المشهد المدمج تسجل كمصدر منفصل؛ تفاصيلها تحتاج الاستكمال.</x:v>
      </x:c>
      <x:c r="B24" s="58"/>
      <x:c r="C24" s="58"/>
      <x:c r="D24" s="58"/>
      <x:c r="E24" s="58"/>
      <x:c r="F24" s="58"/>
    </x:row>
    <x:row r="25">
      <x:c r="A25" s="58"/>
      <x:c r="B25" s="58"/>
      <x:c r="C25" s="58"/>
      <x:c r="D25" s="58"/>
      <x:c r="E25" s="58"/>
      <x:c r="F25" s="58"/>
    </x:row>
    <x:row r="26" ht="40" customHeight="1">
      <x:c r="A26" s="58" t="str">
        <x:v>طريقة الاستخدام: رشّح النوع أو الفصل أو المصدر، وابحث بالمعرف. حقول الحالة في مواد الاستكمال قابلة للتحديث.</x:v>
      </x:c>
      <x:c r="B26" s="58"/>
      <x:c r="C26" s="58"/>
      <x:c r="D26" s="58"/>
      <x:c r="E26" s="58"/>
      <x:c r="F26" s="58"/>
    </x:row>
    <x:row r="27" ht="40" customHeight="1">
      <x:c r="A27" s="58" t="str">
        <x:v>تغطية المصدر تضم جميع فقرات Word، حتى الفارغة، والجداول بترتيبها، وتربطها بوجهة في الخريطة.</x:v>
      </x:c>
      <x:c r="B27" s="58"/>
      <x:c r="C27" s="58"/>
      <x:c r="D27" s="58"/>
      <x:c r="E27" s="58"/>
      <x:c r="F27" s="58"/>
    </x:row>
    <x:row r="28">
      <x:c r="A28" s="58"/>
      <x:c r="B28" s="58"/>
      <x:c r="C28" s="58"/>
      <x:c r="D28" s="58"/>
      <x:c r="E28" s="58"/>
      <x:c r="F28" s="58"/>
    </x:row>
    <x:row r="29">
      <x:c r="A29" s="58"/>
      <x:c r="B29" s="58"/>
      <x:c r="C29" s="58"/>
      <x:c r="D29" s="58"/>
      <x:c r="E29" s="58"/>
      <x:c r="F29" s="58"/>
    </x:row>
    <x:row r="30">
      <x:c r="A30" s="58"/>
      <x:c r="B30" s="58"/>
      <x:c r="C30" s="58"/>
      <x:c r="D30" s="58"/>
      <x:c r="E30" s="58"/>
      <x:c r="F30" s="58"/>
    </x:row>
    <x:row r="31">
      <x:c r="A31" s="58"/>
      <x:c r="B31" s="58"/>
      <x:c r="C31" s="58"/>
      <x:c r="D31" s="58"/>
      <x:c r="E31" s="58"/>
      <x:c r="F31" s="58"/>
    </x:row>
    <x:row r="32">
      <x:c r="A32" s="58"/>
      <x:c r="B32" s="58"/>
      <x:c r="C32" s="58"/>
      <x:c r="D32" s="58"/>
      <x:c r="E32" s="58"/>
      <x:c r="F32" s="58"/>
    </x:row>
  </x:sheetData>
  <x:mergeCells>
    <x:mergeCell ref="A1:F1"/>
    <x:mergeCell ref="A2:F2"/>
    <x:mergeCell ref="A3:F3"/>
    <x:mergeCell ref="A18:F18"/>
    <x:mergeCell ref="A20:F20"/>
    <x:mergeCell ref="A21:F21"/>
    <x:mergeCell ref="A22:F22"/>
    <x:mergeCell ref="A23:F23"/>
    <x:mergeCell ref="A24:F24"/>
    <x:mergeCell ref="A26:F26"/>
    <x:mergeCell ref="A27:F27"/>
  </x:mergeCells>
  <x:pageMargins left="0.7" right="0.7" top="0.75" bottom="0.75" header="0.3" footer="0.3"/>
</x:worksheet>
</file>

<file path=xl/worksheets/sheet2.xml><?xml version="1.0" encoding="utf-8"?>
<x:worksheet xmlns:x="http://schemas.openxmlformats.org/spreadsheetml/2006/main">
  <x:sheetPr>
    <x:tabColor rgb="FF23364D"/>
  </x:sheetPr>
  <x:sheetViews>
    <x:sheetView showGridLines="0" workbookViewId="0">
      <x:pane xSplit="1" ySplit="5" topLeftCell="B6" activePane="bottomRight" state="frozen"/>
    </x:sheetView>
  </x:sheetViews>
  <x:sheetFormatPr defaultRowHeight="15"/>
  <x:cols>
    <x:col min="1" max="1" width="11.670000076293945" hidden="0" customWidth="1"/>
    <x:col min="2" max="2" width="13.890000343322754" hidden="0" customWidth="1"/>
    <x:col min="3" max="3" width="46.66999816894531" hidden="0" customWidth="1"/>
    <x:col min="4" max="4" width="42.220001220703125" hidden="0" customWidth="1"/>
    <x:col min="5" max="5" width="12.220000267028809" hidden="0" customWidth="1"/>
    <x:col min="6" max="6" width="12.220000267028809" hidden="0" customWidth="1"/>
    <x:col min="7" max="7" width="16.110000610351562" hidden="0" customWidth="1"/>
    <x:col min="8" max="8" width="15" hidden="0" customWidth="1"/>
    <x:col min="9" max="9" width="33.88999938964844" hidden="0" customWidth="1"/>
    <x:col min="10" max="10" width="22.219999313354492" hidden="0" customWidth="1"/>
    <x:col min="11" max="11" width="48.33000183105469" hidden="0" customWidth="1"/>
    <x:col min="12" max="12" width="18.889999389648438" hidden="0" customWidth="1"/>
    <x:col min="13" max="13" width="45.560001373291016" hidden="0" customWidth="1"/>
  </x:cols>
  <x:sheetData>
    <x:row r="1" ht="34" customHeight="1">
      <x:c r="A1" s="5" t="str">
        <x:v>خريطة المحتوى — مختبر الهندسة بالواقع الافتراضي</x:v>
      </x:c>
      <x:c r="B1" s="5"/>
      <x:c r="C1" s="5"/>
      <x:c r="D1" s="5"/>
      <x:c r="E1" s="5"/>
      <x:c r="F1" s="4"/>
      <x:c r="G1" s="4"/>
      <x:c r="H1" s="4"/>
      <x:c r="I1" s="4"/>
      <x:c r="J1" s="4"/>
      <x:c r="K1" s="4"/>
      <x:c r="L1" s="4"/>
      <x:c r="M1" s="4"/>
    </x:row>
    <x:row r="2" ht="35" customHeight="1">
      <x:c r="A2" s="4" t="str">
        <x:v>المسارات مقترحة داخل الموقع؛ السجل يحتفظ بالأصل والتكرارات وملاحظات الاستكمال.</x:v>
      </x:c>
      <x:c r="B2" s="4"/>
      <x:c r="C2" s="4"/>
      <x:c r="D2" s="4"/>
      <x:c r="E2" s="4"/>
      <x:c r="F2" s="4"/>
      <x:c r="G2" s="4"/>
      <x:c r="H2" s="4"/>
      <x:c r="I2" s="4"/>
      <x:c r="J2" s="4"/>
      <x:c r="K2" s="4"/>
      <x:c r="L2" s="4"/>
      <x:c r="M2" s="4"/>
    </x:row>
    <x:row r="3" ht="30" customHeight="1">
      <x:c r="A3" s="4" t="str">
        <x:v>تاريخ الجرد: 2026-10-04. تُترك البيانات غير المعروفة صريحة دون استنتاج الإصدار من اسم الملف.</x:v>
      </x:c>
      <x:c r="B3" s="4"/>
      <x:c r="C3" s="4"/>
      <x:c r="D3" s="4"/>
      <x:c r="E3" s="4"/>
      <x:c r="F3" s="4"/>
      <x:c r="G3" s="4"/>
      <x:c r="H3" s="4"/>
      <x:c r="I3" s="4"/>
      <x:c r="J3" s="4"/>
      <x:c r="K3" s="4"/>
      <x:c r="L3" s="4"/>
      <x:c r="M3" s="4"/>
    </x:row>
    <x:row r="4">
      <x:c r="A4" s="4"/>
      <x:c r="B4" s="4"/>
      <x:c r="C4" s="4"/>
      <x:c r="D4" s="4"/>
      <x:c r="E4" s="4"/>
      <x:c r="F4" s="4"/>
      <x:c r="G4" s="4"/>
      <x:c r="H4" s="4"/>
      <x:c r="I4" s="4"/>
      <x:c r="J4" s="4"/>
      <x:c r="K4" s="4"/>
      <x:c r="L4" s="4"/>
      <x:c r="M4" s="4"/>
    </x:row>
    <x:row r="5" ht="38" customHeight="1">
      <x:c r="A5" s="9" t="str">
        <x:v>المعرف</x:v>
      </x:c>
      <x:c r="B5" s="10" t="str">
        <x:v>النوع</x:v>
      </x:c>
      <x:c r="C5" s="10" t="str">
        <x:v>العنوان في الموقع</x:v>
      </x:c>
      <x:c r="D5" s="10" t="str">
        <x:v>العنوان في المصدر</x:v>
      </x:c>
      <x:c r="E5" s="10" t="str">
        <x:v>بداية المصدر</x:v>
      </x:c>
      <x:c r="F5" s="10" t="str">
        <x:v>نهاية المصدر</x:v>
      </x:c>
      <x:c r="G5" s="10" t="str">
        <x:v>الفقرات غير الفارغة</x:v>
      </x:c>
      <x:c r="H5" s="10" t="str">
        <x:v>الجداول التابعة</x:v>
      </x:c>
      <x:c r="I5" s="10" t="str">
        <x:v>الصفحة</x:v>
      </x:c>
      <x:c r="J5" s="10" t="str">
        <x:v>معرف القسم</x:v>
      </x:c>
      <x:c r="K5" s="10" t="str">
        <x:v>الوجهة المقترحة</x:v>
      </x:c>
      <x:c r="L5" s="10" t="str">
        <x:v>الحالة</x:v>
      </x:c>
      <x:c r="M5" s="11" t="str">
        <x:v>الإجراء</x:v>
      </x:c>
    </x:row>
    <x:row r="6" ht="15" hidden="0" customHeight="1">
      <x:c r="A6" s="21" t="str">
        <x:v>MAP-001</x:v>
      </x:c>
      <x:c r="B6" s="13" t="str">
        <x:v>تمهيد</x:v>
      </x:c>
      <x:c r="C6" s="13" t="str">
        <x:v>إقرار منهجي</x:v>
      </x:c>
      <x:c r="D6" s="13" t="str">
        <x:v>إقرار منهجي</x:v>
      </x:c>
      <x:c r="E6" s="13" t="str">
        <x:v>P0012</x:v>
      </x:c>
      <x:c r="F6" s="13" t="str">
        <x:v>P0014</x:v>
      </x:c>
      <x:c r="G6" s="27" t="n">
        <x:v>2</x:v>
      </x:c>
      <x:c r="H6" s="13" t="str">
        <x:v>T002</x:v>
      </x:c>
      <x:c r="I6" s="13" t="str">
        <x:v>about/index.html</x:v>
      </x:c>
      <x:c r="J6" s="13" t="str">
        <x:v>methodological-statement</x:v>
      </x:c>
      <x:c r="K6" s="13" t="str">
        <x:v>about/index.html#methodological-statement</x:v>
      </x:c>
      <x:c r="L6" s="13" t="str">
        <x:v>موجود في المصدر</x:v>
      </x:c>
      <x:c r="M6" s="14" t="str">
        <x:v>تحويل مع حفظ الترقيم</x:v>
      </x:c>
    </x:row>
    <x:row r="7" ht="15" hidden="0" customHeight="1">
      <x:c r="A7" s="22" t="str">
        <x:v>MAP-002</x:v>
      </x:c>
      <x:c r="B7" s="16" t="str">
        <x:v>تمهيد</x:v>
      </x:c>
      <x:c r="C7" s="16" t="str">
        <x:v>شكر وتقدير</x:v>
      </x:c>
      <x:c r="D7" s="16" t="str">
        <x:v>شكر وتقدير</x:v>
      </x:c>
      <x:c r="E7" s="16" t="str">
        <x:v>P0015</x:v>
      </x:c>
      <x:c r="F7" s="16" t="str">
        <x:v>P0016</x:v>
      </x:c>
      <x:c r="G7" s="28" t="n">
        <x:v>2</x:v>
      </x:c>
      <x:c r="H7" s="16" t="str"/>
      <x:c r="I7" s="16" t="str">
        <x:v>about/index.html</x:v>
      </x:c>
      <x:c r="J7" s="16" t="str">
        <x:v>acknowledgements</x:v>
      </x:c>
      <x:c r="K7" s="16" t="str">
        <x:v>about/index.html#acknowledgements</x:v>
      </x:c>
      <x:c r="L7" s="16" t="str">
        <x:v>موجود في المصدر</x:v>
      </x:c>
      <x:c r="M7" s="17" t="str">
        <x:v>تحويل مع حفظ الترقيم</x:v>
      </x:c>
    </x:row>
    <x:row r="8" ht="15" hidden="0" customHeight="1">
      <x:c r="A8" s="21" t="str">
        <x:v>MAP-003</x:v>
      </x:c>
      <x:c r="B8" s="13" t="str">
        <x:v>تمهيد</x:v>
      </x:c>
      <x:c r="C8" s="13" t="str">
        <x:v>الملخص</x:v>
      </x:c>
      <x:c r="D8" s="13" t="str">
        <x:v>الملخص</x:v>
      </x:c>
      <x:c r="E8" s="13" t="str">
        <x:v>P0017</x:v>
      </x:c>
      <x:c r="F8" s="13" t="str">
        <x:v>P0021</x:v>
      </x:c>
      <x:c r="G8" s="27" t="n">
        <x:v>5</x:v>
      </x:c>
      <x:c r="H8" s="13" t="str"/>
      <x:c r="I8" s="13" t="str">
        <x:v>abstract/index.html</x:v>
      </x:c>
      <x:c r="J8" s="13" t="str">
        <x:v>arabic</x:v>
      </x:c>
      <x:c r="K8" s="13" t="str">
        <x:v>abstract/index.html#arabic</x:v>
      </x:c>
      <x:c r="L8" s="13" t="str">
        <x:v>موجود في المصدر</x:v>
      </x:c>
      <x:c r="M8" s="14" t="str">
        <x:v>تحويل مع حفظ الترقيم</x:v>
      </x:c>
    </x:row>
    <x:row r="9" ht="15" hidden="0" customHeight="1">
      <x:c r="A9" s="22" t="str">
        <x:v>MAP-004</x:v>
      </x:c>
      <x:c r="B9" s="16" t="str">
        <x:v>تمهيد</x:v>
      </x:c>
      <x:c r="C9" s="16" t="str">
        <x:v>Abstract</x:v>
      </x:c>
      <x:c r="D9" s="16" t="str">
        <x:v>Abstract</x:v>
      </x:c>
      <x:c r="E9" s="16" t="str">
        <x:v>P0022</x:v>
      </x:c>
      <x:c r="F9" s="16" t="str">
        <x:v>P0027</x:v>
      </x:c>
      <x:c r="G9" s="28" t="n">
        <x:v>5</x:v>
      </x:c>
      <x:c r="H9" s="16" t="str"/>
      <x:c r="I9" s="16" t="str">
        <x:v>abstract/index.html</x:v>
      </x:c>
      <x:c r="J9" s="16" t="str">
        <x:v>english</x:v>
      </x:c>
      <x:c r="K9" s="16" t="str">
        <x:v>abstract/index.html#english</x:v>
      </x:c>
      <x:c r="L9" s="16" t="str">
        <x:v>موجود في المصدر</x:v>
      </x:c>
      <x:c r="M9" s="17" t="str">
        <x:v>تحويل مع حفظ الترقيم</x:v>
      </x:c>
    </x:row>
    <x:row r="10" ht="15" hidden="0" customHeight="1">
      <x:c r="A10" s="21" t="str">
        <x:v>MAP-005</x:v>
      </x:c>
      <x:c r="B10" s="13" t="str">
        <x:v>تمهيد</x:v>
      </x:c>
      <x:c r="C10" s="13" t="str">
        <x:v>جدول المحتويات</x:v>
      </x:c>
      <x:c r="D10" s="13" t="str">
        <x:v>جدول المحتويات</x:v>
      </x:c>
      <x:c r="E10" s="13" t="str">
        <x:v>P0028</x:v>
      </x:c>
      <x:c r="F10" s="13" t="str">
        <x:v>P0030</x:v>
      </x:c>
      <x:c r="G10" s="27" t="n">
        <x:v>2</x:v>
      </x:c>
      <x:c r="H10" s="13" t="str">
        <x:v>T003</x:v>
      </x:c>
      <x:c r="I10" s="13" t="str">
        <x:v>index.html</x:v>
      </x:c>
      <x:c r="J10" s="13" t="str">
        <x:v>contents</x:v>
      </x:c>
      <x:c r="K10" s="13" t="str">
        <x:v>index.html#contents</x:v>
      </x:c>
      <x:c r="L10" s="13" t="str">
        <x:v>موجود في المصدر</x:v>
      </x:c>
      <x:c r="M10" s="14" t="str">
        <x:v>تحويل مع حفظ الترقيم</x:v>
      </x:c>
    </x:row>
    <x:row r="11" ht="15" hidden="0" customHeight="1">
      <x:c r="A11" s="22" t="str">
        <x:v>MAP-006</x:v>
      </x:c>
      <x:c r="B11" s="16" t="str">
        <x:v>تمهيد</x:v>
      </x:c>
      <x:c r="C11" s="16" t="str">
        <x:v>قائمة الجداول</x:v>
      </x:c>
      <x:c r="D11" s="16" t="str">
        <x:v>قائمة الجداول</x:v>
      </x:c>
      <x:c r="E11" s="16" t="str">
        <x:v>P0031</x:v>
      </x:c>
      <x:c r="F11" s="16" t="str">
        <x:v>P0040</x:v>
      </x:c>
      <x:c r="G11" s="28" t="n">
        <x:v>9</x:v>
      </x:c>
      <x:c r="H11" s="16" t="str"/>
      <x:c r="I11" s="16" t="str">
        <x:v>evidence/index.html</x:v>
      </x:c>
      <x:c r="J11" s="16" t="str">
        <x:v>tables</x:v>
      </x:c>
      <x:c r="K11" s="16" t="str">
        <x:v>evidence/index.html#tables</x:v>
      </x:c>
      <x:c r="L11" s="16" t="str">
        <x:v>موجود في المصدر</x:v>
      </x:c>
      <x:c r="M11" s="17" t="str">
        <x:v>تحويل مع حفظ الترقيم</x:v>
      </x:c>
    </x:row>
    <x:row r="12" ht="15" hidden="0" customHeight="1">
      <x:c r="A12" s="21" t="str">
        <x:v>MAP-007</x:v>
      </x:c>
      <x:c r="B12" s="13" t="str">
        <x:v>فصل</x:v>
      </x:c>
      <x:c r="C12" s="13" t="str">
        <x:v>الفصل الأول: الإطار العام للبحث</x:v>
      </x:c>
      <x:c r="D12" s="13" t="str">
        <x:v>الفصل الأول: الإطار العام للبحث</x:v>
      </x:c>
      <x:c r="E12" s="13" t="str">
        <x:v>P0041</x:v>
      </x:c>
      <x:c r="F12" s="13" t="str">
        <x:v>P0041</x:v>
      </x:c>
      <x:c r="G12" s="27" t="n">
        <x:v>1</x:v>
      </x:c>
      <x:c r="H12" s="13" t="str"/>
      <x:c r="I12" s="13" t="str">
        <x:v>chapters/chapter-01/index.html</x:v>
      </x:c>
      <x:c r="J12" s="13" t="str">
        <x:v>top</x:v>
      </x:c>
      <x:c r="K12" s="13" t="str">
        <x:v>chapters/chapter-01/index.html</x:v>
      </x:c>
      <x:c r="L12" s="13" t="str">
        <x:v>موجود في المصدر</x:v>
      </x:c>
      <x:c r="M12" s="14" t="str">
        <x:v>تحويل مع حفظ الترقيم</x:v>
      </x:c>
    </x:row>
    <x:row r="13" ht="15" hidden="0" customHeight="1">
      <x:c r="A13" s="22" t="str">
        <x:v>MAP-008</x:v>
      </x:c>
      <x:c r="B13" s="16" t="str">
        <x:v>قسم</x:v>
      </x:c>
      <x:c r="C13" s="16" t="str">
        <x:v>1.1 مقدمة</x:v>
      </x:c>
      <x:c r="D13" s="16" t="str">
        <x:v>1.1 مقدمة</x:v>
      </x:c>
      <x:c r="E13" s="16" t="str">
        <x:v>P0042</x:v>
      </x:c>
      <x:c r="F13" s="16" t="str">
        <x:v>P0045</x:v>
      </x:c>
      <x:c r="G13" s="28" t="n">
        <x:v>4</x:v>
      </x:c>
      <x:c r="H13" s="16" t="str"/>
      <x:c r="I13" s="16" t="str">
        <x:v>chapters/chapter-01/index.html</x:v>
      </x:c>
      <x:c r="J13" s="16" t="str">
        <x:v>section-1-1</x:v>
      </x:c>
      <x:c r="K13" s="16" t="str">
        <x:v>chapters/chapter-01/index.html#section-1-1</x:v>
      </x:c>
      <x:c r="L13" s="16" t="str">
        <x:v>موجود في المصدر</x:v>
      </x:c>
      <x:c r="M13" s="17" t="str">
        <x:v>تحويل مع حفظ الترقيم</x:v>
      </x:c>
    </x:row>
    <x:row r="14" ht="15" hidden="0" customHeight="1">
      <x:c r="A14" s="21" t="str">
        <x:v>MAP-009</x:v>
      </x:c>
      <x:c r="B14" s="13" t="str">
        <x:v>قسم</x:v>
      </x:c>
      <x:c r="C14" s="13" t="str">
        <x:v>1.2 مشكلة البحث</x:v>
      </x:c>
      <x:c r="D14" s="13" t="str">
        <x:v>1.2 مشكلة البحث</x:v>
      </x:c>
      <x:c r="E14" s="13" t="str">
        <x:v>P0046</x:v>
      </x:c>
      <x:c r="F14" s="13" t="str">
        <x:v>P0051</x:v>
      </x:c>
      <x:c r="G14" s="27" t="n">
        <x:v>4</x:v>
      </x:c>
      <x:c r="H14" s="13" t="str">
        <x:v>T004، T005</x:v>
      </x:c>
      <x:c r="I14" s="13" t="str">
        <x:v>chapters/chapter-01/index.html</x:v>
      </x:c>
      <x:c r="J14" s="13" t="str">
        <x:v>section-1-2</x:v>
      </x:c>
      <x:c r="K14" s="13" t="str">
        <x:v>chapters/chapter-01/index.html#section-1-2</x:v>
      </x:c>
      <x:c r="L14" s="13" t="str">
        <x:v>موجود في المصدر</x:v>
      </x:c>
      <x:c r="M14" s="14" t="str">
        <x:v>تحويل مع حفظ الترقيم</x:v>
      </x:c>
    </x:row>
    <x:row r="15" ht="15" hidden="0" customHeight="1">
      <x:c r="A15" s="22" t="str">
        <x:v>MAP-010</x:v>
      </x:c>
      <x:c r="B15" s="16" t="str">
        <x:v>قسم</x:v>
      </x:c>
      <x:c r="C15" s="16" t="str">
        <x:v>1.3 سؤال البحث الرئيس</x:v>
      </x:c>
      <x:c r="D15" s="16" t="str">
        <x:v>1.3 سؤال البحث الرئيس</x:v>
      </x:c>
      <x:c r="E15" s="16" t="str">
        <x:v>P0052</x:v>
      </x:c>
      <x:c r="F15" s="16" t="str">
        <x:v>P0053</x:v>
      </x:c>
      <x:c r="G15" s="28" t="n">
        <x:v>1</x:v>
      </x:c>
      <x:c r="H15" s="16" t="str">
        <x:v>T006</x:v>
      </x:c>
      <x:c r="I15" s="16" t="str">
        <x:v>chapters/chapter-01/index.html</x:v>
      </x:c>
      <x:c r="J15" s="16" t="str">
        <x:v>section-1-3</x:v>
      </x:c>
      <x:c r="K15" s="16" t="str">
        <x:v>chapters/chapter-01/index.html#section-1-3</x:v>
      </x:c>
      <x:c r="L15" s="16" t="str">
        <x:v>موجود في المصدر</x:v>
      </x:c>
      <x:c r="M15" s="17" t="str">
        <x:v>تحويل مع حفظ الترقيم</x:v>
      </x:c>
    </x:row>
    <x:row r="16" ht="15" hidden="0" customHeight="1">
      <x:c r="A16" s="21" t="str">
        <x:v>MAP-011</x:v>
      </x:c>
      <x:c r="B16" s="13" t="str">
        <x:v>قسم</x:v>
      </x:c>
      <x:c r="C16" s="13" t="str">
        <x:v>1.4 الأسئلة الفرعية</x:v>
      </x:c>
      <x:c r="D16" s="13" t="str">
        <x:v>1.4 الأسئلة الفرعية</x:v>
      </x:c>
      <x:c r="E16" s="13" t="str">
        <x:v>P0054</x:v>
      </x:c>
      <x:c r="F16" s="13" t="str">
        <x:v>P0060</x:v>
      </x:c>
      <x:c r="G16" s="27" t="n">
        <x:v>7</x:v>
      </x:c>
      <x:c r="H16" s="13" t="str"/>
      <x:c r="I16" s="13" t="str">
        <x:v>chapters/chapter-01/index.html</x:v>
      </x:c>
      <x:c r="J16" s="13" t="str">
        <x:v>section-1-4</x:v>
      </x:c>
      <x:c r="K16" s="13" t="str">
        <x:v>chapters/chapter-01/index.html#section-1-4</x:v>
      </x:c>
      <x:c r="L16" s="13" t="str">
        <x:v>موجود في المصدر</x:v>
      </x:c>
      <x:c r="M16" s="14" t="str">
        <x:v>تحويل مع حفظ الترقيم</x:v>
      </x:c>
    </x:row>
    <x:row r="17" ht="15" hidden="0" customHeight="1">
      <x:c r="A17" s="22" t="str">
        <x:v>MAP-012</x:v>
      </x:c>
      <x:c r="B17" s="16" t="str">
        <x:v>قسم</x:v>
      </x:c>
      <x:c r="C17" s="16" t="str">
        <x:v>1.5 أهداف البحث</x:v>
      </x:c>
      <x:c r="D17" s="16" t="str">
        <x:v>1.5 أهداف البحث</x:v>
      </x:c>
      <x:c r="E17" s="16" t="str">
        <x:v>P0061</x:v>
      </x:c>
      <x:c r="F17" s="16" t="str">
        <x:v>P0069</x:v>
      </x:c>
      <x:c r="G17" s="28" t="n">
        <x:v>9</x:v>
      </x:c>
      <x:c r="H17" s="16" t="str"/>
      <x:c r="I17" s="16" t="str">
        <x:v>chapters/chapter-01/index.html</x:v>
      </x:c>
      <x:c r="J17" s="16" t="str">
        <x:v>section-1-5</x:v>
      </x:c>
      <x:c r="K17" s="16" t="str">
        <x:v>chapters/chapter-01/index.html#section-1-5</x:v>
      </x:c>
      <x:c r="L17" s="16" t="str">
        <x:v>موجود في المصدر</x:v>
      </x:c>
      <x:c r="M17" s="17" t="str">
        <x:v>تحويل مع حفظ الترقيم</x:v>
      </x:c>
    </x:row>
    <x:row r="18" ht="15" hidden="0" customHeight="1">
      <x:c r="A18" s="21" t="str">
        <x:v>MAP-013</x:v>
      </x:c>
      <x:c r="B18" s="13" t="str">
        <x:v>قسم</x:v>
      </x:c>
      <x:c r="C18" s="13" t="str">
        <x:v>1.6 أهمية البحث</x:v>
      </x:c>
      <x:c r="D18" s="13" t="str">
        <x:v>1.6 أهمية البحث</x:v>
      </x:c>
      <x:c r="E18" s="13" t="str">
        <x:v>P0070</x:v>
      </x:c>
      <x:c r="F18" s="13" t="str">
        <x:v>P0070</x:v>
      </x:c>
      <x:c r="G18" s="27" t="n">
        <x:v>1</x:v>
      </x:c>
      <x:c r="H18" s="13" t="str"/>
      <x:c r="I18" s="13" t="str">
        <x:v>chapters/chapter-01/index.html</x:v>
      </x:c>
      <x:c r="J18" s="13" t="str">
        <x:v>section-1-6</x:v>
      </x:c>
      <x:c r="K18" s="13" t="str">
        <x:v>chapters/chapter-01/index.html#section-1-6</x:v>
      </x:c>
      <x:c r="L18" s="13" t="str">
        <x:v>موجود في المصدر</x:v>
      </x:c>
      <x:c r="M18" s="14" t="str">
        <x:v>تحويل مع حفظ الترقيم</x:v>
      </x:c>
    </x:row>
    <x:row r="19" ht="15" hidden="0" customHeight="1">
      <x:c r="A19" s="22" t="str">
        <x:v>MAP-014</x:v>
      </x:c>
      <x:c r="B19" s="16" t="str">
        <x:v>قسم فرعي</x:v>
      </x:c>
      <x:c r="C19" s="16" t="str">
        <x:v>1.6.1 الأهمية التربوية</x:v>
      </x:c>
      <x:c r="D19" s="16" t="str">
        <x:v>1.6.1 الأهمية التربوية</x:v>
      </x:c>
      <x:c r="E19" s="16" t="str">
        <x:v>P0071</x:v>
      </x:c>
      <x:c r="F19" s="16" t="str">
        <x:v>P0072</x:v>
      </x:c>
      <x:c r="G19" s="28" t="n">
        <x:v>2</x:v>
      </x:c>
      <x:c r="H19" s="16" t="str"/>
      <x:c r="I19" s="16" t="str">
        <x:v>chapters/chapter-01/index.html</x:v>
      </x:c>
      <x:c r="J19" s="16" t="str">
        <x:v>section-1-6-1</x:v>
      </x:c>
      <x:c r="K19" s="16" t="str">
        <x:v>chapters/chapter-01/index.html#section-1-6-1</x:v>
      </x:c>
      <x:c r="L19" s="16" t="str">
        <x:v>موجود في المصدر</x:v>
      </x:c>
      <x:c r="M19" s="17" t="str">
        <x:v>تحويل مع حفظ الترقيم</x:v>
      </x:c>
    </x:row>
    <x:row r="20" ht="15" hidden="0" customHeight="1">
      <x:c r="A20" s="21" t="str">
        <x:v>MAP-015</x:v>
      </x:c>
      <x:c r="B20" s="13" t="str">
        <x:v>قسم فرعي</x:v>
      </x:c>
      <x:c r="C20" s="13" t="str">
        <x:v>1.6.2 الأهمية التصميمية</x:v>
      </x:c>
      <x:c r="D20" s="13" t="str">
        <x:v>1.6.2 الأهمية التصميمية</x:v>
      </x:c>
      <x:c r="E20" s="13" t="str">
        <x:v>P0073</x:v>
      </x:c>
      <x:c r="F20" s="13" t="str">
        <x:v>P0074</x:v>
      </x:c>
      <x:c r="G20" s="27" t="n">
        <x:v>2</x:v>
      </x:c>
      <x:c r="H20" s="13" t="str"/>
      <x:c r="I20" s="13" t="str">
        <x:v>chapters/chapter-01/index.html</x:v>
      </x:c>
      <x:c r="J20" s="13" t="str">
        <x:v>section-1-6-2</x:v>
      </x:c>
      <x:c r="K20" s="13" t="str">
        <x:v>chapters/chapter-01/index.html#section-1-6-2</x:v>
      </x:c>
      <x:c r="L20" s="13" t="str">
        <x:v>موجود في المصدر</x:v>
      </x:c>
      <x:c r="M20" s="14" t="str">
        <x:v>تحويل مع حفظ الترقيم</x:v>
      </x:c>
    </x:row>
    <x:row r="21" ht="15" hidden="0" customHeight="1">
      <x:c r="A21" s="22" t="str">
        <x:v>MAP-016</x:v>
      </x:c>
      <x:c r="B21" s="16" t="str">
        <x:v>قسم فرعي</x:v>
      </x:c>
      <x:c r="C21" s="16" t="str">
        <x:v>1.6.3 الأهمية التطبيقية</x:v>
      </x:c>
      <x:c r="D21" s="16" t="str">
        <x:v>1.6.3 الأهمية التطبيقية</x:v>
      </x:c>
      <x:c r="E21" s="16" t="str">
        <x:v>P0075</x:v>
      </x:c>
      <x:c r="F21" s="16" t="str">
        <x:v>P0076</x:v>
      </x:c>
      <x:c r="G21" s="28" t="n">
        <x:v>2</x:v>
      </x:c>
      <x:c r="H21" s="16" t="str"/>
      <x:c r="I21" s="16" t="str">
        <x:v>chapters/chapter-01/index.html</x:v>
      </x:c>
      <x:c r="J21" s="16" t="str">
        <x:v>section-1-6-3</x:v>
      </x:c>
      <x:c r="K21" s="16" t="str">
        <x:v>chapters/chapter-01/index.html#section-1-6-3</x:v>
      </x:c>
      <x:c r="L21" s="16" t="str">
        <x:v>موجود في المصدر</x:v>
      </x:c>
      <x:c r="M21" s="17" t="str">
        <x:v>تحويل مع حفظ الترقيم</x:v>
      </x:c>
    </x:row>
    <x:row r="22" ht="15" hidden="0" customHeight="1">
      <x:c r="A22" s="21" t="str">
        <x:v>MAP-017</x:v>
      </x:c>
      <x:c r="B22" s="13" t="str">
        <x:v>قسم فرعي</x:v>
      </x:c>
      <x:c r="C22" s="13" t="str">
        <x:v>1.6.4 الأهمية البحثية</x:v>
      </x:c>
      <x:c r="D22" s="13" t="str">
        <x:v>1.6.4 الأهمية البحثية</x:v>
      </x:c>
      <x:c r="E22" s="13" t="str">
        <x:v>P0077</x:v>
      </x:c>
      <x:c r="F22" s="13" t="str">
        <x:v>P0078</x:v>
      </x:c>
      <x:c r="G22" s="27" t="n">
        <x:v>2</x:v>
      </x:c>
      <x:c r="H22" s="13" t="str"/>
      <x:c r="I22" s="13" t="str">
        <x:v>chapters/chapter-01/index.html</x:v>
      </x:c>
      <x:c r="J22" s="13" t="str">
        <x:v>section-1-6-4</x:v>
      </x:c>
      <x:c r="K22" s="13" t="str">
        <x:v>chapters/chapter-01/index.html#section-1-6-4</x:v>
      </x:c>
      <x:c r="L22" s="13" t="str">
        <x:v>موجود في المصدر</x:v>
      </x:c>
      <x:c r="M22" s="14" t="str">
        <x:v>تحويل مع حفظ الترقيم</x:v>
      </x:c>
    </x:row>
    <x:row r="23" ht="15" hidden="0" customHeight="1">
      <x:c r="A23" s="22" t="str">
        <x:v>MAP-018</x:v>
      </x:c>
      <x:c r="B23" s="16" t="str">
        <x:v>قسم</x:v>
      </x:c>
      <x:c r="C23" s="16" t="str">
        <x:v>1.7 حدود البحث</x:v>
      </x:c>
      <x:c r="D23" s="16" t="str">
        <x:v>1.7 حدود البحث</x:v>
      </x:c>
      <x:c r="E23" s="16" t="str">
        <x:v>P0079</x:v>
      </x:c>
      <x:c r="F23" s="16" t="str">
        <x:v>P0081</x:v>
      </x:c>
      <x:c r="G23" s="28" t="n">
        <x:v>2</x:v>
      </x:c>
      <x:c r="H23" s="16" t="str">
        <x:v>T007</x:v>
      </x:c>
      <x:c r="I23" s="16" t="str">
        <x:v>chapters/chapter-01/index.html</x:v>
      </x:c>
      <x:c r="J23" s="16" t="str">
        <x:v>section-1-7</x:v>
      </x:c>
      <x:c r="K23" s="16" t="str">
        <x:v>chapters/chapter-01/index.html#section-1-7</x:v>
      </x:c>
      <x:c r="L23" s="16" t="str">
        <x:v>موجود في المصدر</x:v>
      </x:c>
      <x:c r="M23" s="17" t="str">
        <x:v>تحويل مع حفظ الترقيم</x:v>
      </x:c>
    </x:row>
    <x:row r="24" ht="15" hidden="0" customHeight="1">
      <x:c r="A24" s="21" t="str">
        <x:v>MAP-019</x:v>
      </x:c>
      <x:c r="B24" s="13" t="str">
        <x:v>قسم</x:v>
      </x:c>
      <x:c r="C24" s="13" t="str">
        <x:v>1.8 مصطلحات البحث</x:v>
      </x:c>
      <x:c r="D24" s="13" t="str">
        <x:v>1.8 مصطلحات البحث</x:v>
      </x:c>
      <x:c r="E24" s="13" t="str">
        <x:v>P0082</x:v>
      </x:c>
      <x:c r="F24" s="13" t="str">
        <x:v>P0090</x:v>
      </x:c>
      <x:c r="G24" s="27" t="n">
        <x:v>9</x:v>
      </x:c>
      <x:c r="H24" s="13" t="str"/>
      <x:c r="I24" s="13" t="str">
        <x:v>chapters/chapter-01/index.html</x:v>
      </x:c>
      <x:c r="J24" s="13" t="str">
        <x:v>section-1-8</x:v>
      </x:c>
      <x:c r="K24" s="13" t="str">
        <x:v>chapters/chapter-01/index.html#section-1-8</x:v>
      </x:c>
      <x:c r="L24" s="13" t="str">
        <x:v>موجود في المصدر</x:v>
      </x:c>
      <x:c r="M24" s="14" t="str">
        <x:v>تحويل مع حفظ الترقيم</x:v>
      </x:c>
    </x:row>
    <x:row r="25" ht="15" hidden="0" customHeight="1">
      <x:c r="A25" s="22" t="str">
        <x:v>MAP-020</x:v>
      </x:c>
      <x:c r="B25" s="16" t="str">
        <x:v>قسم</x:v>
      </x:c>
      <x:c r="C25" s="16" t="str">
        <x:v>1.9 تنظيم البحث</x:v>
      </x:c>
      <x:c r="D25" s="16" t="str">
        <x:v>1.9 تنظيم البحث</x:v>
      </x:c>
      <x:c r="E25" s="16" t="str">
        <x:v>P0091</x:v>
      </x:c>
      <x:c r="F25" s="16" t="str">
        <x:v>P0093</x:v>
      </x:c>
      <x:c r="G25" s="28" t="n">
        <x:v>2</x:v>
      </x:c>
      <x:c r="H25" s="16" t="str"/>
      <x:c r="I25" s="16" t="str">
        <x:v>chapters/chapter-01/index.html</x:v>
      </x:c>
      <x:c r="J25" s="16" t="str">
        <x:v>section-1-9</x:v>
      </x:c>
      <x:c r="K25" s="16" t="str">
        <x:v>chapters/chapter-01/index.html#section-1-9</x:v>
      </x:c>
      <x:c r="L25" s="16" t="str">
        <x:v>موجود في المصدر</x:v>
      </x:c>
      <x:c r="M25" s="17" t="str">
        <x:v>تحويل مع حفظ الترقيم</x:v>
      </x:c>
    </x:row>
    <x:row r="26" ht="15" hidden="0" customHeight="1">
      <x:c r="A26" s="21" t="str">
        <x:v>MAP-021</x:v>
      </x:c>
      <x:c r="B26" s="13" t="str">
        <x:v>فصل</x:v>
      </x:c>
      <x:c r="C26" s="13" t="str">
        <x:v>الفصل الثاني: الإطار النظري والدراسات السابقة</x:v>
      </x:c>
      <x:c r="D26" s="13" t="str">
        <x:v>الفصل الثاني: الإطار النظري والدراسات السابقة</x:v>
      </x:c>
      <x:c r="E26" s="13" t="str">
        <x:v>P0094</x:v>
      </x:c>
      <x:c r="F26" s="13" t="str">
        <x:v>P0094</x:v>
      </x:c>
      <x:c r="G26" s="27" t="n">
        <x:v>1</x:v>
      </x:c>
      <x:c r="H26" s="13" t="str"/>
      <x:c r="I26" s="13" t="str">
        <x:v>chapters/chapter-02/index.html</x:v>
      </x:c>
      <x:c r="J26" s="13" t="str">
        <x:v>top</x:v>
      </x:c>
      <x:c r="K26" s="13" t="str">
        <x:v>chapters/chapter-02/index.html</x:v>
      </x:c>
      <x:c r="L26" s="13" t="str">
        <x:v>موجود في المصدر</x:v>
      </x:c>
      <x:c r="M26" s="14" t="str">
        <x:v>تحويل مع حفظ الترقيم</x:v>
      </x:c>
    </x:row>
    <x:row r="27" ht="15" hidden="0" customHeight="1">
      <x:c r="A27" s="22" t="str">
        <x:v>MAP-022</x:v>
      </x:c>
      <x:c r="B27" s="16" t="str">
        <x:v>قسم</x:v>
      </x:c>
      <x:c r="C27" s="16" t="str">
        <x:v>2.1 طبيعة تعلم الهندسة الفراغية</x:v>
      </x:c>
      <x:c r="D27" s="16" t="str">
        <x:v>2.1 طبيعة تعلم الهندسة الفراغية</x:v>
      </x:c>
      <x:c r="E27" s="16" t="str">
        <x:v>P0095</x:v>
      </x:c>
      <x:c r="F27" s="16" t="str">
        <x:v>P0097</x:v>
      </x:c>
      <x:c r="G27" s="28" t="n">
        <x:v>3</x:v>
      </x:c>
      <x:c r="H27" s="16" t="str"/>
      <x:c r="I27" s="16" t="str">
        <x:v>chapters/chapter-02/index.html</x:v>
      </x:c>
      <x:c r="J27" s="16" t="str">
        <x:v>section-2-1</x:v>
      </x:c>
      <x:c r="K27" s="16" t="str">
        <x:v>chapters/chapter-02/index.html#section-2-1</x:v>
      </x:c>
      <x:c r="L27" s="16" t="str">
        <x:v>موجود في المصدر</x:v>
      </x:c>
      <x:c r="M27" s="17" t="str">
        <x:v>تحويل مع حفظ الترقيم</x:v>
      </x:c>
    </x:row>
    <x:row r="28" ht="15" hidden="0" customHeight="1">
      <x:c r="A28" s="21" t="str">
        <x:v>MAP-023</x:v>
      </x:c>
      <x:c r="B28" s="13" t="str">
        <x:v>قسم</x:v>
      </x:c>
      <x:c r="C28" s="13" t="str">
        <x:v>2.2 حدود التمثيل ثنائي الأبعاد</x:v>
      </x:c>
      <x:c r="D28" s="13" t="str">
        <x:v>2.2 حدود التمثيل ثنائي الأبعاد</x:v>
      </x:c>
      <x:c r="E28" s="13" t="str">
        <x:v>P0098</x:v>
      </x:c>
      <x:c r="F28" s="13" t="str">
        <x:v>P0100</x:v>
      </x:c>
      <x:c r="G28" s="27" t="n">
        <x:v>3</x:v>
      </x:c>
      <x:c r="H28" s="13" t="str"/>
      <x:c r="I28" s="13" t="str">
        <x:v>chapters/chapter-02/index.html</x:v>
      </x:c>
      <x:c r="J28" s="13" t="str">
        <x:v>section-2-2</x:v>
      </x:c>
      <x:c r="K28" s="13" t="str">
        <x:v>chapters/chapter-02/index.html#section-2-2</x:v>
      </x:c>
      <x:c r="L28" s="13" t="str">
        <x:v>موجود في المصدر</x:v>
      </x:c>
      <x:c r="M28" s="14" t="str">
        <x:v>تحويل مع حفظ الترقيم</x:v>
      </x:c>
    </x:row>
    <x:row r="29" ht="15" hidden="0" customHeight="1">
      <x:c r="A29" s="22" t="str">
        <x:v>MAP-024</x:v>
      </x:c>
      <x:c r="B29" s="16" t="str">
        <x:v>قسم</x:v>
      </x:c>
      <x:c r="C29" s="16" t="str">
        <x:v>2.3 مفهوم الواقع الافتراضي الغامر</x:v>
      </x:c>
      <x:c r="D29" s="16" t="str">
        <x:v>2.3 مفهوم الواقع الافتراضي الغامر</x:v>
      </x:c>
      <x:c r="E29" s="16" t="str">
        <x:v>P0101</x:v>
      </x:c>
      <x:c r="F29" s="16" t="str">
        <x:v>P0103</x:v>
      </x:c>
      <x:c r="G29" s="28" t="n">
        <x:v>3</x:v>
      </x:c>
      <x:c r="H29" s="16" t="str"/>
      <x:c r="I29" s="16" t="str">
        <x:v>chapters/chapter-02/index.html</x:v>
      </x:c>
      <x:c r="J29" s="16" t="str">
        <x:v>section-2-3</x:v>
      </x:c>
      <x:c r="K29" s="16" t="str">
        <x:v>chapters/chapter-02/index.html#section-2-3</x:v>
      </x:c>
      <x:c r="L29" s="16" t="str">
        <x:v>موجود في المصدر</x:v>
      </x:c>
      <x:c r="M29" s="17" t="str">
        <x:v>تحويل مع حفظ الترقيم</x:v>
      </x:c>
    </x:row>
    <x:row r="30" ht="15" hidden="0" customHeight="1">
      <x:c r="A30" s="21" t="str">
        <x:v>MAP-025</x:v>
      </x:c>
      <x:c r="B30" s="13" t="str">
        <x:v>قسم</x:v>
      </x:c>
      <x:c r="C30" s="13" t="str">
        <x:v>2.4 الأسس التربوية للتصميم</x:v>
      </x:c>
      <x:c r="D30" s="13" t="str">
        <x:v>2.4 الأسس التربوية للتصميم</x:v>
      </x:c>
      <x:c r="E30" s="13" t="str">
        <x:v>P0104</x:v>
      </x:c>
      <x:c r="F30" s="13" t="str">
        <x:v>P0104</x:v>
      </x:c>
      <x:c r="G30" s="27" t="n">
        <x:v>1</x:v>
      </x:c>
      <x:c r="H30" s="13" t="str"/>
      <x:c r="I30" s="13" t="str">
        <x:v>chapters/chapter-02/index.html</x:v>
      </x:c>
      <x:c r="J30" s="13" t="str">
        <x:v>section-2-4</x:v>
      </x:c>
      <x:c r="K30" s="13" t="str">
        <x:v>chapters/chapter-02/index.html#section-2-4</x:v>
      </x:c>
      <x:c r="L30" s="13" t="str">
        <x:v>موجود في المصدر</x:v>
      </x:c>
      <x:c r="M30" s="14" t="str">
        <x:v>تحويل مع حفظ الترقيم</x:v>
      </x:c>
    </x:row>
    <x:row r="31" ht="15" hidden="0" customHeight="1">
      <x:c r="A31" s="22" t="str">
        <x:v>MAP-026</x:v>
      </x:c>
      <x:c r="B31" s="16" t="str">
        <x:v>قسم فرعي</x:v>
      </x:c>
      <x:c r="C31" s="16" t="str">
        <x:v>2.4.1 البنائية والتعلم بالاكتشاف الموجّه</x:v>
      </x:c>
      <x:c r="D31" s="16" t="str">
        <x:v>2.4.1 البنائية والتعلم بالاكتشاف الموجّه</x:v>
      </x:c>
      <x:c r="E31" s="16" t="str">
        <x:v>P0105</x:v>
      </x:c>
      <x:c r="F31" s="16" t="str">
        <x:v>P0106</x:v>
      </x:c>
      <x:c r="G31" s="28" t="n">
        <x:v>2</x:v>
      </x:c>
      <x:c r="H31" s="16" t="str"/>
      <x:c r="I31" s="16" t="str">
        <x:v>chapters/chapter-02/index.html</x:v>
      </x:c>
      <x:c r="J31" s="16" t="str">
        <x:v>section-2-4-1</x:v>
      </x:c>
      <x:c r="K31" s="16" t="str">
        <x:v>chapters/chapter-02/index.html#section-2-4-1</x:v>
      </x:c>
      <x:c r="L31" s="16" t="str">
        <x:v>موجود في المصدر</x:v>
      </x:c>
      <x:c r="M31" s="17" t="str">
        <x:v>تحويل مع حفظ الترقيم</x:v>
      </x:c>
    </x:row>
    <x:row r="32" ht="15" hidden="0" customHeight="1">
      <x:c r="A32" s="21" t="str">
        <x:v>MAP-027</x:v>
      </x:c>
      <x:c r="B32" s="13" t="str">
        <x:v>قسم فرعي</x:v>
      </x:c>
      <x:c r="C32" s="13" t="str">
        <x:v>2.4.2 التعلم بالتجربة</x:v>
      </x:c>
      <x:c r="D32" s="13" t="str">
        <x:v>2.4.2 التعلم بالتجربة</x:v>
      </x:c>
      <x:c r="E32" s="13" t="str">
        <x:v>P0107</x:v>
      </x:c>
      <x:c r="F32" s="13" t="str">
        <x:v>P0108</x:v>
      </x:c>
      <x:c r="G32" s="27" t="n">
        <x:v>2</x:v>
      </x:c>
      <x:c r="H32" s="13" t="str"/>
      <x:c r="I32" s="13" t="str">
        <x:v>chapters/chapter-02/index.html</x:v>
      </x:c>
      <x:c r="J32" s="13" t="str">
        <x:v>section-2-4-2</x:v>
      </x:c>
      <x:c r="K32" s="13" t="str">
        <x:v>chapters/chapter-02/index.html#section-2-4-2</x:v>
      </x:c>
      <x:c r="L32" s="13" t="str">
        <x:v>موجود في المصدر</x:v>
      </x:c>
      <x:c r="M32" s="14" t="str">
        <x:v>تحويل مع حفظ الترقيم</x:v>
      </x:c>
    </x:row>
    <x:row r="33" ht="15" hidden="0" customHeight="1">
      <x:c r="A33" s="22" t="str">
        <x:v>MAP-028</x:v>
      </x:c>
      <x:c r="B33" s="16" t="str">
        <x:v>قسم فرعي</x:v>
      </x:c>
      <x:c r="C33" s="16" t="str">
        <x:v>2.4.3 التعلم المتجسد</x:v>
      </x:c>
      <x:c r="D33" s="16" t="str">
        <x:v>2.4.3 التعلم المتجسد</x:v>
      </x:c>
      <x:c r="E33" s="16" t="str">
        <x:v>P0109</x:v>
      </x:c>
      <x:c r="F33" s="16" t="str">
        <x:v>P0110</x:v>
      </x:c>
      <x:c r="G33" s="28" t="n">
        <x:v>2</x:v>
      </x:c>
      <x:c r="H33" s="16" t="str"/>
      <x:c r="I33" s="16" t="str">
        <x:v>chapters/chapter-02/index.html</x:v>
      </x:c>
      <x:c r="J33" s="16" t="str">
        <x:v>section-2-4-3</x:v>
      </x:c>
      <x:c r="K33" s="16" t="str">
        <x:v>chapters/chapter-02/index.html#section-2-4-3</x:v>
      </x:c>
      <x:c r="L33" s="16" t="str">
        <x:v>موجود في المصدر</x:v>
      </x:c>
      <x:c r="M33" s="17" t="str">
        <x:v>تحويل مع حفظ الترقيم</x:v>
      </x:c>
    </x:row>
    <x:row r="34" ht="15" hidden="0" customHeight="1">
      <x:c r="A34" s="21" t="str">
        <x:v>MAP-029</x:v>
      </x:c>
      <x:c r="B34" s="13" t="str">
        <x:v>قسم فرعي</x:v>
      </x:c>
      <x:c r="C34" s="13" t="str">
        <x:v>2.4.4 نظرية التعلم بالوسائط المتعددة</x:v>
      </x:c>
      <x:c r="D34" s="13" t="str">
        <x:v>2.4.4 نظرية التعلم بالوسائط المتعددة</x:v>
      </x:c>
      <x:c r="E34" s="13" t="str">
        <x:v>P0111</x:v>
      </x:c>
      <x:c r="F34" s="13" t="str">
        <x:v>P0113</x:v>
      </x:c>
      <x:c r="G34" s="27" t="n">
        <x:v>3</x:v>
      </x:c>
      <x:c r="H34" s="13" t="str"/>
      <x:c r="I34" s="13" t="str">
        <x:v>chapters/chapter-02/index.html</x:v>
      </x:c>
      <x:c r="J34" s="13" t="str">
        <x:v>section-2-4-4</x:v>
      </x:c>
      <x:c r="K34" s="13" t="str">
        <x:v>chapters/chapter-02/index.html#section-2-4-4</x:v>
      </x:c>
      <x:c r="L34" s="13" t="str">
        <x:v>موجود في المصدر</x:v>
      </x:c>
      <x:c r="M34" s="14" t="str">
        <x:v>تحويل مع حفظ الترقيم</x:v>
      </x:c>
    </x:row>
    <x:row r="35" ht="15" hidden="0" customHeight="1">
      <x:c r="A35" s="22" t="str">
        <x:v>MAP-030</x:v>
      </x:c>
      <x:c r="B35" s="16" t="str">
        <x:v>قسم فرعي</x:v>
      </x:c>
      <x:c r="C35" s="16" t="str">
        <x:v>2.4.5 العبء المعرفي والتدريب القبلي</x:v>
      </x:c>
      <x:c r="D35" s="16" t="str">
        <x:v>2.4.5 العبء المعرفي والتدريب القبلي</x:v>
      </x:c>
      <x:c r="E35" s="16" t="str">
        <x:v>P0114</x:v>
      </x:c>
      <x:c r="F35" s="16" t="str">
        <x:v>P0115</x:v>
      </x:c>
      <x:c r="G35" s="28" t="n">
        <x:v>2</x:v>
      </x:c>
      <x:c r="H35" s="16" t="str"/>
      <x:c r="I35" s="16" t="str">
        <x:v>chapters/chapter-02/index.html</x:v>
      </x:c>
      <x:c r="J35" s="16" t="str">
        <x:v>section-2-4-5</x:v>
      </x:c>
      <x:c r="K35" s="16" t="str">
        <x:v>chapters/chapter-02/index.html#section-2-4-5</x:v>
      </x:c>
      <x:c r="L35" s="16" t="str">
        <x:v>موجود في المصدر</x:v>
      </x:c>
      <x:c r="M35" s="17" t="str">
        <x:v>تحويل مع حفظ الترقيم</x:v>
      </x:c>
    </x:row>
    <x:row r="36" ht="15" hidden="0" customHeight="1">
      <x:c r="A36" s="21" t="str">
        <x:v>MAP-031</x:v>
      </x:c>
      <x:c r="B36" s="13" t="str">
        <x:v>قسم</x:v>
      </x:c>
      <x:c r="C36" s="13" t="str">
        <x:v>2.5 مبادئ تصميم بيئة الواقع الافتراضي التعليمية</x:v>
      </x:c>
      <x:c r="D36" s="13" t="str">
        <x:v>2.5 مبادئ تصميم بيئة الواقع الافتراضي التعليمية</x:v>
      </x:c>
      <x:c r="E36" s="13" t="str">
        <x:v>P0116</x:v>
      </x:c>
      <x:c r="F36" s="13" t="str">
        <x:v>P0125</x:v>
      </x:c>
      <x:c r="G36" s="27" t="n">
        <x:v>10</x:v>
      </x:c>
      <x:c r="H36" s="13" t="str"/>
      <x:c r="I36" s="13" t="str">
        <x:v>chapters/chapter-02/index.html</x:v>
      </x:c>
      <x:c r="J36" s="13" t="str">
        <x:v>section-2-5</x:v>
      </x:c>
      <x:c r="K36" s="13" t="str">
        <x:v>chapters/chapter-02/index.html#section-2-5</x:v>
      </x:c>
      <x:c r="L36" s="13" t="str">
        <x:v>موجود في المصدر</x:v>
      </x:c>
      <x:c r="M36" s="14" t="str">
        <x:v>تحويل مع حفظ الترقيم</x:v>
      </x:c>
    </x:row>
    <x:row r="37" ht="15" hidden="0" customHeight="1">
      <x:c r="A37" s="22" t="str">
        <x:v>MAP-032</x:v>
      </x:c>
      <x:c r="B37" s="16" t="str">
        <x:v>قسم</x:v>
      </x:c>
      <x:c r="C37" s="16" t="str">
        <x:v>2.6 مراجعة الدراسات السابقة</x:v>
      </x:c>
      <x:c r="D37" s="16" t="str">
        <x:v>2.6 مراجعة الدراسات السابقة</x:v>
      </x:c>
      <x:c r="E37" s="16" t="str">
        <x:v>P0126</x:v>
      </x:c>
      <x:c r="F37" s="16" t="str">
        <x:v>P0126</x:v>
      </x:c>
      <x:c r="G37" s="28" t="n">
        <x:v>1</x:v>
      </x:c>
      <x:c r="H37" s="16" t="str"/>
      <x:c r="I37" s="16" t="str">
        <x:v>chapters/chapter-02/index.html</x:v>
      </x:c>
      <x:c r="J37" s="16" t="str">
        <x:v>section-2-6</x:v>
      </x:c>
      <x:c r="K37" s="16" t="str">
        <x:v>chapters/chapter-02/index.html#section-2-6</x:v>
      </x:c>
      <x:c r="L37" s="16" t="str">
        <x:v>موجود في المصدر</x:v>
      </x:c>
      <x:c r="M37" s="17" t="str">
        <x:v>تحويل مع حفظ الترقيم</x:v>
      </x:c>
    </x:row>
    <x:row r="38" ht="15" hidden="0" customHeight="1">
      <x:c r="A38" s="21" t="str">
        <x:v>MAP-033</x:v>
      </x:c>
      <x:c r="B38" s="13" t="str">
        <x:v>قسم فرعي</x:v>
      </x:c>
      <x:c r="C38" s="13" t="str">
        <x:v>2.6.1 دراسة Su وزملائه (2022)</x:v>
      </x:c>
      <x:c r="D38" s="13" t="str">
        <x:v>2.6.1 دراسة Su وزملائه (2022)</x:v>
      </x:c>
      <x:c r="E38" s="13" t="str">
        <x:v>P0127</x:v>
      </x:c>
      <x:c r="F38" s="13" t="str">
        <x:v>P0128</x:v>
      </x:c>
      <x:c r="G38" s="27" t="n">
        <x:v>2</x:v>
      </x:c>
      <x:c r="H38" s="13" t="str"/>
      <x:c r="I38" s="13" t="str">
        <x:v>chapters/chapter-02/index.html</x:v>
      </x:c>
      <x:c r="J38" s="13" t="str">
        <x:v>section-2-6-1</x:v>
      </x:c>
      <x:c r="K38" s="13" t="str">
        <x:v>chapters/chapter-02/index.html#section-2-6-1</x:v>
      </x:c>
      <x:c r="L38" s="13" t="str">
        <x:v>موجود في المصدر</x:v>
      </x:c>
      <x:c r="M38" s="14" t="str">
        <x:v>تحويل مع حفظ الترقيم</x:v>
      </x:c>
    </x:row>
    <x:row r="39" ht="15" hidden="0" customHeight="1">
      <x:c r="A39" s="22" t="str">
        <x:v>MAP-034</x:v>
      </x:c>
      <x:c r="B39" s="16" t="str">
        <x:v>قسم فرعي</x:v>
      </x:c>
      <x:c r="C39" s="16" t="str">
        <x:v>2.6.2 دراسة Rodríguez وRomero وCodina (2021)</x:v>
      </x:c>
      <x:c r="D39" s="16" t="str">
        <x:v>2.6.2 دراسة Rodríguez وRomero وCodina (2021)</x:v>
      </x:c>
      <x:c r="E39" s="16" t="str">
        <x:v>P0129</x:v>
      </x:c>
      <x:c r="F39" s="16" t="str">
        <x:v>P0130</x:v>
      </x:c>
      <x:c r="G39" s="28" t="n">
        <x:v>2</x:v>
      </x:c>
      <x:c r="H39" s="16" t="str"/>
      <x:c r="I39" s="16" t="str">
        <x:v>chapters/chapter-02/index.html</x:v>
      </x:c>
      <x:c r="J39" s="16" t="str">
        <x:v>section-2-6-2</x:v>
      </x:c>
      <x:c r="K39" s="16" t="str">
        <x:v>chapters/chapter-02/index.html#section-2-6-2</x:v>
      </x:c>
      <x:c r="L39" s="16" t="str">
        <x:v>موجود في المصدر</x:v>
      </x:c>
      <x:c r="M39" s="17" t="str">
        <x:v>تحويل مع حفظ الترقيم</x:v>
      </x:c>
    </x:row>
    <x:row r="40" ht="15" hidden="0" customHeight="1">
      <x:c r="A40" s="21" t="str">
        <x:v>MAP-035</x:v>
      </x:c>
      <x:c r="B40" s="13" t="str">
        <x:v>قسم فرعي</x:v>
      </x:c>
      <x:c r="C40" s="13" t="str">
        <x:v>2.6.3 دراسة Domínguez Vázquez وDíaz Palencia (2024)</x:v>
      </x:c>
      <x:c r="D40" s="13" t="str">
        <x:v>2.6.3 دراسة Domínguez Vázquez وDíaz Palencia (2024)</x:v>
      </x:c>
      <x:c r="E40" s="13" t="str">
        <x:v>P0131</x:v>
      </x:c>
      <x:c r="F40" s="13" t="str">
        <x:v>P0132</x:v>
      </x:c>
      <x:c r="G40" s="27" t="n">
        <x:v>2</x:v>
      </x:c>
      <x:c r="H40" s="13" t="str"/>
      <x:c r="I40" s="13" t="str">
        <x:v>chapters/chapter-02/index.html</x:v>
      </x:c>
      <x:c r="J40" s="13" t="str">
        <x:v>section-2-6-3</x:v>
      </x:c>
      <x:c r="K40" s="13" t="str">
        <x:v>chapters/chapter-02/index.html#section-2-6-3</x:v>
      </x:c>
      <x:c r="L40" s="13" t="str">
        <x:v>موجود في المصدر</x:v>
      </x:c>
      <x:c r="M40" s="14" t="str">
        <x:v>تحويل مع حفظ الترقيم</x:v>
      </x:c>
    </x:row>
    <x:row r="41" ht="15" hidden="0" customHeight="1">
      <x:c r="A41" s="22" t="str">
        <x:v>MAP-036</x:v>
      </x:c>
      <x:c r="B41" s="16" t="str">
        <x:v>قسم فرعي</x:v>
      </x:c>
      <x:c r="C41" s="16" t="str">
        <x:v>2.6.4 دراسة Alobaid وYoung وManzke (2025)</x:v>
      </x:c>
      <x:c r="D41" s="16" t="str">
        <x:v>2.6.4 دراسة Alobaid وYoung وManzke (2025)</x:v>
      </x:c>
      <x:c r="E41" s="16" t="str">
        <x:v>P0133</x:v>
      </x:c>
      <x:c r="F41" s="16" t="str">
        <x:v>P0134</x:v>
      </x:c>
      <x:c r="G41" s="28" t="n">
        <x:v>2</x:v>
      </x:c>
      <x:c r="H41" s="16" t="str"/>
      <x:c r="I41" s="16" t="str">
        <x:v>chapters/chapter-02/index.html</x:v>
      </x:c>
      <x:c r="J41" s="16" t="str">
        <x:v>section-2-6-4</x:v>
      </x:c>
      <x:c r="K41" s="16" t="str">
        <x:v>chapters/chapter-02/index.html#section-2-6-4</x:v>
      </x:c>
      <x:c r="L41" s="16" t="str">
        <x:v>موجود في المصدر</x:v>
      </x:c>
      <x:c r="M41" s="17" t="str">
        <x:v>تحويل مع حفظ الترقيم</x:v>
      </x:c>
    </x:row>
    <x:row r="42" ht="15" hidden="0" customHeight="1">
      <x:c r="A42" s="21" t="str">
        <x:v>MAP-037</x:v>
      </x:c>
      <x:c r="B42" s="13" t="str">
        <x:v>قسم فرعي</x:v>
      </x:c>
      <x:c r="C42" s="13" t="str">
        <x:v>2.6.5 مراجعة Abutayeh وزملائه (2022)</x:v>
      </x:c>
      <x:c r="D42" s="13" t="str">
        <x:v>2.6.5 مراجعة Abutayeh وزملائه (2022)</x:v>
      </x:c>
      <x:c r="E42" s="13" t="str">
        <x:v>P0135</x:v>
      </x:c>
      <x:c r="F42" s="13" t="str">
        <x:v>P0136</x:v>
      </x:c>
      <x:c r="G42" s="27" t="n">
        <x:v>2</x:v>
      </x:c>
      <x:c r="H42" s="13" t="str"/>
      <x:c r="I42" s="13" t="str">
        <x:v>chapters/chapter-02/index.html</x:v>
      </x:c>
      <x:c r="J42" s="13" t="str">
        <x:v>section-2-6-5</x:v>
      </x:c>
      <x:c r="K42" s="13" t="str">
        <x:v>chapters/chapter-02/index.html#section-2-6-5</x:v>
      </x:c>
      <x:c r="L42" s="13" t="str">
        <x:v>موجود في المصدر</x:v>
      </x:c>
      <x:c r="M42" s="14" t="str">
        <x:v>تحويل مع حفظ الترقيم</x:v>
      </x:c>
    </x:row>
    <x:row r="43" ht="15" hidden="0" customHeight="1">
      <x:c r="A43" s="22" t="str">
        <x:v>MAP-038</x:v>
      </x:c>
      <x:c r="B43" s="16" t="str">
        <x:v>قسم فرعي</x:v>
      </x:c>
      <x:c r="C43" s="16" t="str">
        <x:v>2.6.6 المراجعات العامة</x:v>
      </x:c>
      <x:c r="D43" s="16" t="str">
        <x:v>2.6.6 المراجعات العامة</x:v>
      </x:c>
      <x:c r="E43" s="16" t="str">
        <x:v>P0137</x:v>
      </x:c>
      <x:c r="F43" s="16" t="str">
        <x:v>P0140</x:v>
      </x:c>
      <x:c r="G43" s="28" t="n">
        <x:v>3</x:v>
      </x:c>
      <x:c r="H43" s="16" t="str">
        <x:v>T008</x:v>
      </x:c>
      <x:c r="I43" s="16" t="str">
        <x:v>chapters/chapter-02/index.html</x:v>
      </x:c>
      <x:c r="J43" s="16" t="str">
        <x:v>section-2-6-6</x:v>
      </x:c>
      <x:c r="K43" s="16" t="str">
        <x:v>chapters/chapter-02/index.html#section-2-6-6</x:v>
      </x:c>
      <x:c r="L43" s="16" t="str">
        <x:v>موجود في المصدر</x:v>
      </x:c>
      <x:c r="M43" s="17" t="str">
        <x:v>تحويل مع حفظ الترقيم</x:v>
      </x:c>
    </x:row>
    <x:row r="44" ht="15" hidden="0" customHeight="1">
      <x:c r="A44" s="21" t="str">
        <x:v>MAP-039</x:v>
      </x:c>
      <x:c r="B44" s="13" t="str">
        <x:v>قسم</x:v>
      </x:c>
      <x:c r="C44" s="13" t="str">
        <x:v>2.7 التطبيقات والمنصات المتاحة</x:v>
      </x:c>
      <x:c r="D44" s="13" t="str">
        <x:v>2.7 التطبيقات والمنصات المتاحة</x:v>
      </x:c>
      <x:c r="E44" s="13" t="str">
        <x:v>P0141</x:v>
      </x:c>
      <x:c r="F44" s="13" t="str">
        <x:v>P0144</x:v>
      </x:c>
      <x:c r="G44" s="27" t="n">
        <x:v>3</x:v>
      </x:c>
      <x:c r="H44" s="13" t="str">
        <x:v>T009</x:v>
      </x:c>
      <x:c r="I44" s="13" t="str">
        <x:v>chapters/chapter-02/index.html</x:v>
      </x:c>
      <x:c r="J44" s="13" t="str">
        <x:v>section-2-7</x:v>
      </x:c>
      <x:c r="K44" s="13" t="str">
        <x:v>chapters/chapter-02/index.html#section-2-7</x:v>
      </x:c>
      <x:c r="L44" s="13" t="str">
        <x:v>موجود في المصدر</x:v>
      </x:c>
      <x:c r="M44" s="14" t="str">
        <x:v>تحويل مع حفظ الترقيم</x:v>
      </x:c>
    </x:row>
    <x:row r="45" ht="15" hidden="0" customHeight="1">
      <x:c r="A45" s="22" t="str">
        <x:v>MAP-040</x:v>
      </x:c>
      <x:c r="B45" s="16" t="str">
        <x:v>قسم</x:v>
      </x:c>
      <x:c r="C45" s="16" t="str">
        <x:v>2.8 الفجوة التي يعالجها البحث</x:v>
      </x:c>
      <x:c r="D45" s="16" t="str">
        <x:v>2.8 الفجوة التي يعالجها البحث</x:v>
      </x:c>
      <x:c r="E45" s="16" t="str">
        <x:v>P0145</x:v>
      </x:c>
      <x:c r="F45" s="16" t="str">
        <x:v>P0146</x:v>
      </x:c>
      <x:c r="G45" s="28" t="n">
        <x:v>2</x:v>
      </x:c>
      <x:c r="H45" s="16" t="str"/>
      <x:c r="I45" s="16" t="str">
        <x:v>chapters/chapter-02/index.html</x:v>
      </x:c>
      <x:c r="J45" s="16" t="str">
        <x:v>section-2-8</x:v>
      </x:c>
      <x:c r="K45" s="16" t="str">
        <x:v>chapters/chapter-02/index.html#section-2-8</x:v>
      </x:c>
      <x:c r="L45" s="16" t="str">
        <x:v>موجود في المصدر</x:v>
      </x:c>
      <x:c r="M45" s="17" t="str">
        <x:v>تحويل مع حفظ الترقيم</x:v>
      </x:c>
    </x:row>
    <x:row r="46" ht="15" hidden="0" customHeight="1">
      <x:c r="A46" s="21" t="str">
        <x:v>MAP-041</x:v>
      </x:c>
      <x:c r="B46" s="13" t="str">
        <x:v>قسم</x:v>
      </x:c>
      <x:c r="C46" s="13" t="str">
        <x:v>2.9 النموذج المفاهيمي للتصميم</x:v>
      </x:c>
      <x:c r="D46" s="13" t="str">
        <x:v>2.9 النموذج المفاهيمي للتصميم</x:v>
      </x:c>
      <x:c r="E46" s="13" t="str">
        <x:v>P0147</x:v>
      </x:c>
      <x:c r="F46" s="13" t="str">
        <x:v>P0149</x:v>
      </x:c>
      <x:c r="G46" s="27" t="n">
        <x:v>2</x:v>
      </x:c>
      <x:c r="H46" s="13" t="str"/>
      <x:c r="I46" s="13" t="str">
        <x:v>chapters/chapter-02/index.html</x:v>
      </x:c>
      <x:c r="J46" s="13" t="str">
        <x:v>section-2-9</x:v>
      </x:c>
      <x:c r="K46" s="13" t="str">
        <x:v>chapters/chapter-02/index.html#section-2-9</x:v>
      </x:c>
      <x:c r="L46" s="13" t="str">
        <x:v>موجود في المصدر</x:v>
      </x:c>
      <x:c r="M46" s="14" t="str">
        <x:v>تحويل مع حفظ الترقيم</x:v>
      </x:c>
    </x:row>
    <x:row r="47" ht="15" hidden="0" customHeight="1">
      <x:c r="A47" s="22" t="str">
        <x:v>MAP-042</x:v>
      </x:c>
      <x:c r="B47" s="16" t="str">
        <x:v>فصل</x:v>
      </x:c>
      <x:c r="C47" s="16" t="str">
        <x:v>الفصل الثالث: منهجية البحث وإجراءات التصميم والتطوير</x:v>
      </x:c>
      <x:c r="D47" s="16" t="str">
        <x:v>الفصل الثالث: منهجية البحث وإجراءات التصميم والتطوير</x:v>
      </x:c>
      <x:c r="E47" s="16" t="str">
        <x:v>P0150</x:v>
      </x:c>
      <x:c r="F47" s="16" t="str">
        <x:v>P0150</x:v>
      </x:c>
      <x:c r="G47" s="28" t="n">
        <x:v>1</x:v>
      </x:c>
      <x:c r="H47" s="16" t="str"/>
      <x:c r="I47" s="16" t="str">
        <x:v>chapters/chapter-03/index.html</x:v>
      </x:c>
      <x:c r="J47" s="16" t="str">
        <x:v>top</x:v>
      </x:c>
      <x:c r="K47" s="16" t="str">
        <x:v>chapters/chapter-03/index.html</x:v>
      </x:c>
      <x:c r="L47" s="16" t="str">
        <x:v>موجود في المصدر</x:v>
      </x:c>
      <x:c r="M47" s="17" t="str">
        <x:v>تحويل بعد مراجعة حالة الإنجاز والزمن</x:v>
      </x:c>
    </x:row>
    <x:row r="48" ht="15" hidden="0" customHeight="1">
      <x:c r="A48" s="21" t="str">
        <x:v>MAP-043</x:v>
      </x:c>
      <x:c r="B48" s="13" t="str">
        <x:v>قسم</x:v>
      </x:c>
      <x:c r="C48" s="13" t="str">
        <x:v>3.1 منهج البحث</x:v>
      </x:c>
      <x:c r="D48" s="13" t="str">
        <x:v>3.1 منهج البحث</x:v>
      </x:c>
      <x:c r="E48" s="13" t="str">
        <x:v>P0151</x:v>
      </x:c>
      <x:c r="F48" s="13" t="str">
        <x:v>P0152</x:v>
      </x:c>
      <x:c r="G48" s="27" t="n">
        <x:v>2</x:v>
      </x:c>
      <x:c r="H48" s="13" t="str"/>
      <x:c r="I48" s="13" t="str">
        <x:v>chapters/chapter-03/index.html</x:v>
      </x:c>
      <x:c r="J48" s="13" t="str">
        <x:v>section-3-1</x:v>
      </x:c>
      <x:c r="K48" s="13" t="str">
        <x:v>chapters/chapter-03/index.html#section-3-1</x:v>
      </x:c>
      <x:c r="L48" s="13" t="str">
        <x:v>موجود في المصدر</x:v>
      </x:c>
      <x:c r="M48" s="14" t="str">
        <x:v>تحويل بعد مراجعة حالة الإنجاز والزمن</x:v>
      </x:c>
    </x:row>
    <x:row r="49" ht="15" hidden="0" customHeight="1">
      <x:c r="A49" s="22" t="str">
        <x:v>MAP-044</x:v>
      </x:c>
      <x:c r="B49" s="16" t="str">
        <x:v>قسم</x:v>
      </x:c>
      <x:c r="C49" s="16" t="str">
        <x:v>3.2 لماذا لم تُستخدم عينة أو استبانة؟</x:v>
      </x:c>
      <x:c r="D49" s="16" t="str">
        <x:v>3.2 لماذا لم تُستخدم عينة أو استبانة؟</x:v>
      </x:c>
      <x:c r="E49" s="16" t="str">
        <x:v>P0153</x:v>
      </x:c>
      <x:c r="F49" s="16" t="str">
        <x:v>P0155</x:v>
      </x:c>
      <x:c r="G49" s="28" t="n">
        <x:v>2</x:v>
      </x:c>
      <x:c r="H49" s="16" t="str">
        <x:v>T010</x:v>
      </x:c>
      <x:c r="I49" s="16" t="str">
        <x:v>chapters/chapter-03/index.html</x:v>
      </x:c>
      <x:c r="J49" s="16" t="str">
        <x:v>section-3-2</x:v>
      </x:c>
      <x:c r="K49" s="16" t="str">
        <x:v>chapters/chapter-03/index.html#section-3-2</x:v>
      </x:c>
      <x:c r="L49" s="16" t="str">
        <x:v>موجود في المصدر</x:v>
      </x:c>
      <x:c r="M49" s="17" t="str">
        <x:v>تحويل بعد مراجعة حالة الإنجاز والزمن</x:v>
      </x:c>
    </x:row>
    <x:row r="50" ht="15" hidden="0" customHeight="1">
      <x:c r="A50" s="21" t="str">
        <x:v>MAP-045</x:v>
      </x:c>
      <x:c r="B50" s="13" t="str">
        <x:v>قسم</x:v>
      </x:c>
      <x:c r="C50" s="13" t="str">
        <x:v>3.3 وحدة البحث ومصادر الأدلة</x:v>
      </x:c>
      <x:c r="D50" s="13" t="str">
        <x:v>3.3 وحدة البحث ومصادر الأدلة</x:v>
      </x:c>
      <x:c r="E50" s="13" t="str">
        <x:v>P0156</x:v>
      </x:c>
      <x:c r="F50" s="13" t="str">
        <x:v>P0157</x:v>
      </x:c>
      <x:c r="G50" s="27" t="n">
        <x:v>2</x:v>
      </x:c>
      <x:c r="H50" s="13" t="str"/>
      <x:c r="I50" s="13" t="str">
        <x:v>chapters/chapter-03/index.html</x:v>
      </x:c>
      <x:c r="J50" s="13" t="str">
        <x:v>section-3-3</x:v>
      </x:c>
      <x:c r="K50" s="13" t="str">
        <x:v>chapters/chapter-03/index.html#section-3-3</x:v>
      </x:c>
      <x:c r="L50" s="13" t="str">
        <x:v>موجود في المصدر</x:v>
      </x:c>
      <x:c r="M50" s="14" t="str">
        <x:v>تحويل بعد مراجعة حالة الإنجاز والزمن</x:v>
      </x:c>
    </x:row>
    <x:row r="51" ht="15" hidden="0" customHeight="1">
      <x:c r="A51" s="22" t="str">
        <x:v>MAP-046</x:v>
      </x:c>
      <x:c r="B51" s="16" t="str">
        <x:v>قسم</x:v>
      </x:c>
      <x:c r="C51" s="16" t="str">
        <x:v>3.4 أدوات البحث التطويري</x:v>
      </x:c>
      <x:c r="D51" s="16" t="str">
        <x:v>3.4 أدوات البحث التطويري</x:v>
      </x:c>
      <x:c r="E51" s="16" t="str">
        <x:v>P0158</x:v>
      </x:c>
      <x:c r="F51" s="16" t="str">
        <x:v>P0165</x:v>
      </x:c>
      <x:c r="G51" s="28" t="n">
        <x:v>8</x:v>
      </x:c>
      <x:c r="H51" s="16" t="str"/>
      <x:c r="I51" s="16" t="str">
        <x:v>chapters/chapter-03/index.html</x:v>
      </x:c>
      <x:c r="J51" s="16" t="str">
        <x:v>section-3-4</x:v>
      </x:c>
      <x:c r="K51" s="16" t="str">
        <x:v>chapters/chapter-03/index.html#section-3-4</x:v>
      </x:c>
      <x:c r="L51" s="16" t="str">
        <x:v>موجود في المصدر</x:v>
      </x:c>
      <x:c r="M51" s="17" t="str">
        <x:v>تحويل بعد مراجعة حالة الإنجاز والزمن</x:v>
      </x:c>
    </x:row>
    <x:row r="52" ht="15" hidden="0" customHeight="1">
      <x:c r="A52" s="21" t="str">
        <x:v>MAP-047</x:v>
      </x:c>
      <x:c r="B52" s="13" t="str">
        <x:v>قسم</x:v>
      </x:c>
      <x:c r="C52" s="13" t="str">
        <x:v>3.5 الصدق والثبات في البحث الحالي</x:v>
      </x:c>
      <x:c r="D52" s="13" t="str">
        <x:v>3.5 الصدق والثبات في البحث الحالي</x:v>
      </x:c>
      <x:c r="E52" s="13" t="str">
        <x:v>P0166</x:v>
      </x:c>
      <x:c r="F52" s="13" t="str">
        <x:v>P0168</x:v>
      </x:c>
      <x:c r="G52" s="27" t="n">
        <x:v>3</x:v>
      </x:c>
      <x:c r="H52" s="13" t="str"/>
      <x:c r="I52" s="13" t="str">
        <x:v>chapters/chapter-03/index.html</x:v>
      </x:c>
      <x:c r="J52" s="13" t="str">
        <x:v>section-3-5</x:v>
      </x:c>
      <x:c r="K52" s="13" t="str">
        <x:v>chapters/chapter-03/index.html#section-3-5</x:v>
      </x:c>
      <x:c r="L52" s="13" t="str">
        <x:v>موجود في المصدر</x:v>
      </x:c>
      <x:c r="M52" s="14" t="str">
        <x:v>تحويل بعد مراجعة حالة الإنجاز والزمن</x:v>
      </x:c>
    </x:row>
    <x:row r="53" ht="15" hidden="0" customHeight="1">
      <x:c r="A53" s="22" t="str">
        <x:v>MAP-048</x:v>
      </x:c>
      <x:c r="B53" s="16" t="str">
        <x:v>قسم</x:v>
      </x:c>
      <x:c r="C53" s="16" t="str">
        <x:v>3.6 مراحل التصميم والتطوير</x:v>
      </x:c>
      <x:c r="D53" s="16" t="str">
        <x:v>3.6 مراحل التصميم والتطوير</x:v>
      </x:c>
      <x:c r="E53" s="16" t="str">
        <x:v>P0169</x:v>
      </x:c>
      <x:c r="F53" s="16" t="str">
        <x:v>P0169</x:v>
      </x:c>
      <x:c r="G53" s="28" t="n">
        <x:v>1</x:v>
      </x:c>
      <x:c r="H53" s="16" t="str"/>
      <x:c r="I53" s="16" t="str">
        <x:v>chapters/chapter-03/index.html</x:v>
      </x:c>
      <x:c r="J53" s="16" t="str">
        <x:v>section-3-6</x:v>
      </x:c>
      <x:c r="K53" s="16" t="str">
        <x:v>chapters/chapter-03/index.html#section-3-6</x:v>
      </x:c>
      <x:c r="L53" s="16" t="str">
        <x:v>موجود في المصدر</x:v>
      </x:c>
      <x:c r="M53" s="17" t="str">
        <x:v>تحويل بعد مراجعة حالة الإنجاز والزمن</x:v>
      </x:c>
    </x:row>
    <x:row r="54" ht="15" hidden="0" customHeight="1">
      <x:c r="A54" s="21" t="str">
        <x:v>MAP-049</x:v>
      </x:c>
      <x:c r="B54" s="13" t="str">
        <x:v>قسم فرعي</x:v>
      </x:c>
      <x:c r="C54" s="13" t="str">
        <x:v>3.6.1 تحليل الحاجة</x:v>
      </x:c>
      <x:c r="D54" s="13" t="str">
        <x:v>3.6.1 تحليل الحاجة</x:v>
      </x:c>
      <x:c r="E54" s="13" t="str">
        <x:v>P0170</x:v>
      </x:c>
      <x:c r="F54" s="13" t="str">
        <x:v>P0171</x:v>
      </x:c>
      <x:c r="G54" s="27" t="n">
        <x:v>2</x:v>
      </x:c>
      <x:c r="H54" s="13" t="str"/>
      <x:c r="I54" s="13" t="str">
        <x:v>chapters/chapter-03/index.html</x:v>
      </x:c>
      <x:c r="J54" s="13" t="str">
        <x:v>section-3-6-1</x:v>
      </x:c>
      <x:c r="K54" s="13" t="str">
        <x:v>chapters/chapter-03/index.html#section-3-6-1</x:v>
      </x:c>
      <x:c r="L54" s="13" t="str">
        <x:v>موجود في المصدر</x:v>
      </x:c>
      <x:c r="M54" s="14" t="str">
        <x:v>تحويل بعد مراجعة حالة الإنجاز والزمن</x:v>
      </x:c>
    </x:row>
    <x:row r="55" ht="15" hidden="0" customHeight="1">
      <x:c r="A55" s="22" t="str">
        <x:v>MAP-050</x:v>
      </x:c>
      <x:c r="B55" s="16" t="str">
        <x:v>قسم فرعي</x:v>
      </x:c>
      <x:c r="C55" s="16" t="str">
        <x:v>3.6.2 المرحلة الأولى: Fusion 360 والعرض بزاوية 360 درجة</x:v>
      </x:c>
      <x:c r="D55" s="16" t="str">
        <x:v>3.6.2 المرحلة الأولى: Fusion 360 والعرض بزاوية 360 درجة</x:v>
      </x:c>
      <x:c r="E55" s="16" t="str">
        <x:v>P0172</x:v>
      </x:c>
      <x:c r="F55" s="16" t="str">
        <x:v>P0173</x:v>
      </x:c>
      <x:c r="G55" s="28" t="n">
        <x:v>2</x:v>
      </x:c>
      <x:c r="H55" s="16" t="str"/>
      <x:c r="I55" s="16" t="str">
        <x:v>chapters/chapter-03/index.html</x:v>
      </x:c>
      <x:c r="J55" s="16" t="str">
        <x:v>section-3-6-2</x:v>
      </x:c>
      <x:c r="K55" s="16" t="str">
        <x:v>chapters/chapter-03/index.html#section-3-6-2</x:v>
      </x:c>
      <x:c r="L55" s="16" t="str">
        <x:v>موجود في المصدر</x:v>
      </x:c>
      <x:c r="M55" s="17" t="str">
        <x:v>تحويل بعد مراجعة حالة الإنجاز والزمن</x:v>
      </x:c>
    </x:row>
    <x:row r="56" ht="15" hidden="0" customHeight="1">
      <x:c r="A56" s="21" t="str">
        <x:v>MAP-051</x:v>
      </x:c>
      <x:c r="B56" s="13" t="str">
        <x:v>قسم فرعي</x:v>
      </x:c>
      <x:c r="C56" s="13" t="str">
        <x:v>3.6.3 محاولات Blender وGeometry Nodes</x:v>
      </x:c>
      <x:c r="D56" s="13" t="str">
        <x:v>3.6.3 محاولات Blender وGeometry Nodes</x:v>
      </x:c>
      <x:c r="E56" s="13" t="str">
        <x:v>P0174</x:v>
      </x:c>
      <x:c r="F56" s="13" t="str">
        <x:v>P0175</x:v>
      </x:c>
      <x:c r="G56" s="27" t="n">
        <x:v>2</x:v>
      </x:c>
      <x:c r="H56" s="13" t="str"/>
      <x:c r="I56" s="13" t="str">
        <x:v>chapters/chapter-03/index.html</x:v>
      </x:c>
      <x:c r="J56" s="13" t="str">
        <x:v>section-3-6-3</x:v>
      </x:c>
      <x:c r="K56" s="13" t="str">
        <x:v>chapters/chapter-03/index.html#section-3-6-3</x:v>
      </x:c>
      <x:c r="L56" s="13" t="str">
        <x:v>موجود في المصدر</x:v>
      </x:c>
      <x:c r="M56" s="14" t="str">
        <x:v>تحويل بعد مراجعة حالة الإنجاز والزمن</x:v>
      </x:c>
    </x:row>
    <x:row r="57" ht="15" hidden="0" customHeight="1">
      <x:c r="A57" s="22" t="str">
        <x:v>MAP-052</x:v>
      </x:c>
      <x:c r="B57" s="16" t="str">
        <x:v>قسم فرعي</x:v>
      </x:c>
      <x:c r="C57" s="16" t="str">
        <x:v>3.6.4 الانتقال إلى Unity</x:v>
      </x:c>
      <x:c r="D57" s="16" t="str">
        <x:v>3.6.4 الانتقال إلى Unity</x:v>
      </x:c>
      <x:c r="E57" s="16" t="str">
        <x:v>P0176</x:v>
      </x:c>
      <x:c r="F57" s="16" t="str">
        <x:v>P0177</x:v>
      </x:c>
      <x:c r="G57" s="28" t="n">
        <x:v>2</x:v>
      </x:c>
      <x:c r="H57" s="16" t="str"/>
      <x:c r="I57" s="16" t="str">
        <x:v>chapters/chapter-03/index.html</x:v>
      </x:c>
      <x:c r="J57" s="16" t="str">
        <x:v>section-3-6-4</x:v>
      </x:c>
      <x:c r="K57" s="16" t="str">
        <x:v>chapters/chapter-03/index.html#section-3-6-4</x:v>
      </x:c>
      <x:c r="L57" s="16" t="str">
        <x:v>موجود في المصدر</x:v>
      </x:c>
      <x:c r="M57" s="17" t="str">
        <x:v>تحويل بعد مراجعة حالة الإنجاز والزمن</x:v>
      </x:c>
    </x:row>
    <x:row r="58" ht="15" hidden="0" customHeight="1">
      <x:c r="A58" s="21" t="str">
        <x:v>MAP-053</x:v>
      </x:c>
      <x:c r="B58" s="13" t="str">
        <x:v>قسم فرعي</x:v>
      </x:c>
      <x:c r="C58" s="13" t="str">
        <x:v>3.6.5 تطور العتاد</x:v>
      </x:c>
      <x:c r="D58" s="13" t="str">
        <x:v>3.6.5 تطور العتاد</x:v>
      </x:c>
      <x:c r="E58" s="13" t="str">
        <x:v>P0178</x:v>
      </x:c>
      <x:c r="F58" s="13" t="str">
        <x:v>P0181</x:v>
      </x:c>
      <x:c r="G58" s="27" t="n">
        <x:v>3</x:v>
      </x:c>
      <x:c r="H58" s="13" t="str">
        <x:v>T011</x:v>
      </x:c>
      <x:c r="I58" s="13" t="str">
        <x:v>chapters/chapter-03/index.html</x:v>
      </x:c>
      <x:c r="J58" s="13" t="str">
        <x:v>section-3-6-5</x:v>
      </x:c>
      <x:c r="K58" s="13" t="str">
        <x:v>chapters/chapter-03/index.html#section-3-6-5</x:v>
      </x:c>
      <x:c r="L58" s="13" t="str">
        <x:v>موجود في المصدر</x:v>
      </x:c>
      <x:c r="M58" s="14" t="str">
        <x:v>تحويل بعد مراجعة حالة الإنجاز والزمن</x:v>
      </x:c>
    </x:row>
    <x:row r="59" ht="15" hidden="0" customHeight="1">
      <x:c r="A59" s="22" t="str">
        <x:v>MAP-054</x:v>
      </x:c>
      <x:c r="B59" s="16" t="str">
        <x:v>قسم</x:v>
      </x:c>
      <x:c r="C59" s="16" t="str">
        <x:v>3.7 البيئة التقنية</x:v>
      </x:c>
      <x:c r="D59" s="16" t="str">
        <x:v>3.7 البيئة التقنية</x:v>
      </x:c>
      <x:c r="E59" s="16" t="str">
        <x:v>P0182</x:v>
      </x:c>
      <x:c r="F59" s="16" t="str">
        <x:v>P0190</x:v>
      </x:c>
      <x:c r="G59" s="28" t="n">
        <x:v>9</x:v>
      </x:c>
      <x:c r="H59" s="16" t="str"/>
      <x:c r="I59" s="16" t="str">
        <x:v>chapters/chapter-03/index.html</x:v>
      </x:c>
      <x:c r="J59" s="16" t="str">
        <x:v>section-3-7</x:v>
      </x:c>
      <x:c r="K59" s="16" t="str">
        <x:v>chapters/chapter-03/index.html#section-3-7</x:v>
      </x:c>
      <x:c r="L59" s="16" t="str">
        <x:v>موجود في المصدر</x:v>
      </x:c>
      <x:c r="M59" s="17" t="str">
        <x:v>تحويل بعد مراجعة حالة الإنجاز والزمن</x:v>
      </x:c>
    </x:row>
    <x:row r="60" ht="15" hidden="0" customHeight="1">
      <x:c r="A60" s="21" t="str">
        <x:v>MAP-055</x:v>
      </x:c>
      <x:c r="B60" s="13" t="str">
        <x:v>قسم</x:v>
      </x:c>
      <x:c r="C60" s="13" t="str">
        <x:v>3.8 بنية المشاهد والمكونات</x:v>
      </x:c>
      <x:c r="D60" s="13" t="str">
        <x:v>3.8 بنية المشاهد والمكونات</x:v>
      </x:c>
      <x:c r="E60" s="13" t="str">
        <x:v>P0191</x:v>
      </x:c>
      <x:c r="F60" s="13" t="str">
        <x:v>P0198</x:v>
      </x:c>
      <x:c r="G60" s="27" t="n">
        <x:v>7</x:v>
      </x:c>
      <x:c r="H60" s="13" t="str">
        <x:v>T012</x:v>
      </x:c>
      <x:c r="I60" s="13" t="str">
        <x:v>chapters/chapter-03/index.html</x:v>
      </x:c>
      <x:c r="J60" s="13" t="str">
        <x:v>section-3-8</x:v>
      </x:c>
      <x:c r="K60" s="13" t="str">
        <x:v>chapters/chapter-03/index.html#section-3-8</x:v>
      </x:c>
      <x:c r="L60" s="13" t="str">
        <x:v>موجود في المصدر</x:v>
      </x:c>
      <x:c r="M60" s="14" t="str">
        <x:v>تحويل بعد مراجعة حالة الإنجاز والزمن</x:v>
      </x:c>
    </x:row>
    <x:row r="61" ht="15" hidden="0" customHeight="1">
      <x:c r="A61" s="22" t="str">
        <x:v>MAP-056</x:v>
      </x:c>
      <x:c r="B61" s="16" t="str">
        <x:v>قسم</x:v>
      </x:c>
      <x:c r="C61" s="16" t="str">
        <x:v>3.9 التصميم التربوي للمراحل</x:v>
      </x:c>
      <x:c r="D61" s="16" t="str">
        <x:v>3.9 التصميم التربوي للمراحل</x:v>
      </x:c>
      <x:c r="E61" s="16" t="str">
        <x:v>P0199</x:v>
      </x:c>
      <x:c r="F61" s="16" t="str">
        <x:v>P0199</x:v>
      </x:c>
      <x:c r="G61" s="28" t="n">
        <x:v>1</x:v>
      </x:c>
      <x:c r="H61" s="16" t="str"/>
      <x:c r="I61" s="16" t="str">
        <x:v>chapters/chapter-03/index.html</x:v>
      </x:c>
      <x:c r="J61" s="16" t="str">
        <x:v>section-3-9</x:v>
      </x:c>
      <x:c r="K61" s="16" t="str">
        <x:v>chapters/chapter-03/index.html#section-3-9</x:v>
      </x:c>
      <x:c r="L61" s="16" t="str">
        <x:v>موجود في المصدر</x:v>
      </x:c>
      <x:c r="M61" s="17" t="str">
        <x:v>تحويل بعد مراجعة حالة الإنجاز والزمن</x:v>
      </x:c>
    </x:row>
    <x:row r="62" ht="15" hidden="0" customHeight="1">
      <x:c r="A62" s="21" t="str">
        <x:v>MAP-057</x:v>
      </x:c>
      <x:c r="B62" s="13" t="str">
        <x:v>قسم فرعي</x:v>
      </x:c>
      <x:c r="C62" s="13" t="str">
        <x:v>3.9.1 مرحلة التهيئة</x:v>
      </x:c>
      <x:c r="D62" s="13" t="str">
        <x:v>3.9.1 مرحلة التهيئة</x:v>
      </x:c>
      <x:c r="E62" s="13" t="str">
        <x:v>P0200</x:v>
      </x:c>
      <x:c r="F62" s="13" t="str">
        <x:v>P0201</x:v>
      </x:c>
      <x:c r="G62" s="27" t="n">
        <x:v>2</x:v>
      </x:c>
      <x:c r="H62" s="13" t="str"/>
      <x:c r="I62" s="13" t="str">
        <x:v>chapters/chapter-03/index.html</x:v>
      </x:c>
      <x:c r="J62" s="13" t="str">
        <x:v>section-3-9-1</x:v>
      </x:c>
      <x:c r="K62" s="13" t="str">
        <x:v>chapters/chapter-03/index.html#section-3-9-1</x:v>
      </x:c>
      <x:c r="L62" s="13" t="str">
        <x:v>موجود في المصدر</x:v>
      </x:c>
      <x:c r="M62" s="14" t="str">
        <x:v>تحويل بعد مراجعة حالة الإنجاز والزمن</x:v>
      </x:c>
    </x:row>
    <x:row r="63" ht="15" hidden="0" customHeight="1">
      <x:c r="A63" s="22" t="str">
        <x:v>MAP-058</x:v>
      </x:c>
      <x:c r="B63" s="16" t="str">
        <x:v>قسم فرعي</x:v>
      </x:c>
      <x:c r="C63" s="16" t="str">
        <x:v>3.9.2 مختبر المجسمات</x:v>
      </x:c>
      <x:c r="D63" s="16" t="str">
        <x:v>3.9.2 مختبر المجسمات</x:v>
      </x:c>
      <x:c r="E63" s="16" t="str">
        <x:v>P0202</x:v>
      </x:c>
      <x:c r="F63" s="16" t="str">
        <x:v>P0203</x:v>
      </x:c>
      <x:c r="G63" s="28" t="n">
        <x:v>2</x:v>
      </x:c>
      <x:c r="H63" s="16" t="str"/>
      <x:c r="I63" s="16" t="str">
        <x:v>chapters/chapter-03/index.html</x:v>
      </x:c>
      <x:c r="J63" s="16" t="str">
        <x:v>section-3-9-2</x:v>
      </x:c>
      <x:c r="K63" s="16" t="str">
        <x:v>chapters/chapter-03/index.html#section-3-9-2</x:v>
      </x:c>
      <x:c r="L63" s="16" t="str">
        <x:v>موجود في المصدر</x:v>
      </x:c>
      <x:c r="M63" s="17" t="str">
        <x:v>تحويل بعد مراجعة حالة الإنجاز والزمن</x:v>
      </x:c>
    </x:row>
    <x:row r="64" ht="15" hidden="0" customHeight="1">
      <x:c r="A64" s="21" t="str">
        <x:v>MAP-059</x:v>
      </x:c>
      <x:c r="B64" s="13" t="str">
        <x:v>قسم فرعي</x:v>
      </x:c>
      <x:c r="C64" s="13" t="str">
        <x:v>3.9.3 مختبر التحويلات</x:v>
      </x:c>
      <x:c r="D64" s="13" t="str">
        <x:v>3.9.3 مختبر التحويلات</x:v>
      </x:c>
      <x:c r="E64" s="13" t="str">
        <x:v>P0204</x:v>
      </x:c>
      <x:c r="F64" s="13" t="str">
        <x:v>P0205</x:v>
      </x:c>
      <x:c r="G64" s="27" t="n">
        <x:v>2</x:v>
      </x:c>
      <x:c r="H64" s="13" t="str"/>
      <x:c r="I64" s="13" t="str">
        <x:v>chapters/chapter-03/index.html</x:v>
      </x:c>
      <x:c r="J64" s="13" t="str">
        <x:v>section-3-9-3</x:v>
      </x:c>
      <x:c r="K64" s="13" t="str">
        <x:v>chapters/chapter-03/index.html#section-3-9-3</x:v>
      </x:c>
      <x:c r="L64" s="13" t="str">
        <x:v>موجود في المصدر</x:v>
      </x:c>
      <x:c r="M64" s="14" t="str">
        <x:v>تحويل بعد مراجعة حالة الإنجاز والزمن</x:v>
      </x:c>
    </x:row>
    <x:row r="65" ht="15" hidden="0" customHeight="1">
      <x:c r="A65" s="22" t="str">
        <x:v>MAP-060</x:v>
      </x:c>
      <x:c r="B65" s="16" t="str">
        <x:v>قسم فرعي</x:v>
      </x:c>
      <x:c r="C65" s="16" t="str">
        <x:v>3.9.4 الوظيفة التربوية للإرشاد الصوتي العربي</x:v>
      </x:c>
      <x:c r="D65" s="16" t="str">
        <x:v>3.9.4 الوظيفة التربوية للإرشاد الصوتي العربي</x:v>
      </x:c>
      <x:c r="E65" s="16" t="str">
        <x:v>P0206</x:v>
      </x:c>
      <x:c r="F65" s="16" t="str">
        <x:v>P0208</x:v>
      </x:c>
      <x:c r="G65" s="28" t="n">
        <x:v>3</x:v>
      </x:c>
      <x:c r="H65" s="16" t="str"/>
      <x:c r="I65" s="16" t="str">
        <x:v>chapters/chapter-03/index.html</x:v>
      </x:c>
      <x:c r="J65" s="16" t="str">
        <x:v>section-3-9-4</x:v>
      </x:c>
      <x:c r="K65" s="16" t="str">
        <x:v>chapters/chapter-03/index.html#section-3-9-4</x:v>
      </x:c>
      <x:c r="L65" s="16" t="str">
        <x:v>موجود في المصدر</x:v>
      </x:c>
      <x:c r="M65" s="17" t="str">
        <x:v>تحويل بعد مراجعة حالة الإنجاز والزمن</x:v>
      </x:c>
    </x:row>
    <x:row r="66" ht="15" hidden="0" customHeight="1">
      <x:c r="A66" s="21" t="str">
        <x:v>MAP-061</x:v>
      </x:c>
      <x:c r="B66" s="13" t="str">
        <x:v>قسم</x:v>
      </x:c>
      <x:c r="C66" s="13" t="str">
        <x:v>3.10 الاختبارات التقنية</x:v>
      </x:c>
      <x:c r="D66" s="13" t="str">
        <x:v>3.10 الاختبارات التقنية</x:v>
      </x:c>
      <x:c r="E66" s="13" t="str">
        <x:v>P0209</x:v>
      </x:c>
      <x:c r="F66" s="13" t="str">
        <x:v>P0220</x:v>
      </x:c>
      <x:c r="G66" s="27" t="n">
        <x:v>12</x:v>
      </x:c>
      <x:c r="H66" s="13" t="str"/>
      <x:c r="I66" s="13" t="str">
        <x:v>chapters/chapter-03/index.html</x:v>
      </x:c>
      <x:c r="J66" s="13" t="str">
        <x:v>section-3-10</x:v>
      </x:c>
      <x:c r="K66" s="13" t="str">
        <x:v>chapters/chapter-03/index.html#section-3-10</x:v>
      </x:c>
      <x:c r="L66" s="13" t="str">
        <x:v>موجود في المصدر</x:v>
      </x:c>
      <x:c r="M66" s="14" t="str">
        <x:v>تحويل بعد مراجعة حالة الإنجاز والزمن</x:v>
      </x:c>
    </x:row>
    <x:row r="67" ht="15" hidden="0" customHeight="1">
      <x:c r="A67" s="22" t="str">
        <x:v>MAP-062</x:v>
      </x:c>
      <x:c r="B67" s="16" t="str">
        <x:v>قسم</x:v>
      </x:c>
      <x:c r="C67" s="16" t="str">
        <x:v>3.11 صعوبات التطوير ومعالجتها</x:v>
      </x:c>
      <x:c r="D67" s="16" t="str">
        <x:v>3.11 صعوبات التطوير ومعالجتها</x:v>
      </x:c>
      <x:c r="E67" s="16" t="str">
        <x:v>P0221</x:v>
      </x:c>
      <x:c r="F67" s="16" t="str">
        <x:v>P0221</x:v>
      </x:c>
      <x:c r="G67" s="28" t="n">
        <x:v>1</x:v>
      </x:c>
      <x:c r="H67" s="16" t="str"/>
      <x:c r="I67" s="16" t="str">
        <x:v>chapters/chapter-03/index.html</x:v>
      </x:c>
      <x:c r="J67" s="16" t="str">
        <x:v>section-3-11</x:v>
      </x:c>
      <x:c r="K67" s="16" t="str">
        <x:v>chapters/chapter-03/index.html#section-3-11</x:v>
      </x:c>
      <x:c r="L67" s="16" t="str">
        <x:v>موجود في المصدر</x:v>
      </x:c>
      <x:c r="M67" s="17" t="str">
        <x:v>تحويل بعد مراجعة حالة الإنجاز والزمن</x:v>
      </x:c>
    </x:row>
    <x:row r="68" ht="15" hidden="0" customHeight="1">
      <x:c r="A68" s="21" t="str">
        <x:v>MAP-063</x:v>
      </x:c>
      <x:c r="B68" s="13" t="str">
        <x:v>قسم فرعي</x:v>
      </x:c>
      <x:c r="C68" s="13" t="str">
        <x:v>3.11.1 الاتصال والكابل</x:v>
      </x:c>
      <x:c r="D68" s="13" t="str">
        <x:v>3.11.1 الاتصال والكابل</x:v>
      </x:c>
      <x:c r="E68" s="13" t="str">
        <x:v>P0222</x:v>
      </x:c>
      <x:c r="F68" s="13" t="str">
        <x:v>P0223</x:v>
      </x:c>
      <x:c r="G68" s="27" t="n">
        <x:v>2</x:v>
      </x:c>
      <x:c r="H68" s="13" t="str"/>
      <x:c r="I68" s="13" t="str">
        <x:v>chapters/chapter-03/index.html</x:v>
      </x:c>
      <x:c r="J68" s="13" t="str">
        <x:v>section-3-11-1</x:v>
      </x:c>
      <x:c r="K68" s="13" t="str">
        <x:v>chapters/chapter-03/index.html#section-3-11-1</x:v>
      </x:c>
      <x:c r="L68" s="13" t="str">
        <x:v>موجود في المصدر</x:v>
      </x:c>
      <x:c r="M68" s="14" t="str">
        <x:v>تحويل بعد مراجعة حالة الإنجاز والزمن</x:v>
      </x:c>
    </x:row>
    <x:row r="69" ht="15" hidden="0" customHeight="1">
      <x:c r="A69" s="22" t="str">
        <x:v>MAP-064</x:v>
      </x:c>
      <x:c r="B69" s="16" t="str">
        <x:v>قسم فرعي</x:v>
      </x:c>
      <x:c r="C69" s="16" t="str">
        <x:v>3.11.2 اختيار بطاقة الرسوم</x:v>
      </x:c>
      <x:c r="D69" s="16" t="str">
        <x:v>3.11.2 اختيار بطاقة الرسوم</x:v>
      </x:c>
      <x:c r="E69" s="16" t="str">
        <x:v>P0224</x:v>
      </x:c>
      <x:c r="F69" s="16" t="str">
        <x:v>P0225</x:v>
      </x:c>
      <x:c r="G69" s="28" t="n">
        <x:v>2</x:v>
      </x:c>
      <x:c r="H69" s="16" t="str"/>
      <x:c r="I69" s="16" t="str">
        <x:v>chapters/chapter-03/index.html</x:v>
      </x:c>
      <x:c r="J69" s="16" t="str">
        <x:v>section-3-11-2</x:v>
      </x:c>
      <x:c r="K69" s="16" t="str">
        <x:v>chapters/chapter-03/index.html#section-3-11-2</x:v>
      </x:c>
      <x:c r="L69" s="16" t="str">
        <x:v>موجود في المصدر</x:v>
      </x:c>
      <x:c r="M69" s="17" t="str">
        <x:v>تحويل بعد مراجعة حالة الإنجاز والزمن</x:v>
      </x:c>
    </x:row>
    <x:row r="70" ht="15" hidden="0" customHeight="1">
      <x:c r="A70" s="21" t="str">
        <x:v>MAP-065</x:v>
      </x:c>
      <x:c r="B70" s="13" t="str">
        <x:v>قسم فرعي</x:v>
      </x:c>
      <x:c r="C70" s="13" t="str">
        <x:v>3.11.3 ارتفاع الكاميرا</x:v>
      </x:c>
      <x:c r="D70" s="13" t="str">
        <x:v>3.11.3 ارتفاع الكاميرا</x:v>
      </x:c>
      <x:c r="E70" s="13" t="str">
        <x:v>P0226</x:v>
      </x:c>
      <x:c r="F70" s="13" t="str">
        <x:v>P0227</x:v>
      </x:c>
      <x:c r="G70" s="27" t="n">
        <x:v>2</x:v>
      </x:c>
      <x:c r="H70" s="13" t="str"/>
      <x:c r="I70" s="13" t="str">
        <x:v>chapters/chapter-03/index.html</x:v>
      </x:c>
      <x:c r="J70" s="13" t="str">
        <x:v>section-3-11-3</x:v>
      </x:c>
      <x:c r="K70" s="13" t="str">
        <x:v>chapters/chapter-03/index.html#section-3-11-3</x:v>
      </x:c>
      <x:c r="L70" s="13" t="str">
        <x:v>موجود في المصدر</x:v>
      </x:c>
      <x:c r="M70" s="14" t="str">
        <x:v>تحويل بعد مراجعة حالة الإنجاز والزمن</x:v>
      </x:c>
    </x:row>
    <x:row r="71" ht="15" hidden="0" customHeight="1">
      <x:c r="A71" s="22" t="str">
        <x:v>MAP-066</x:v>
      </x:c>
      <x:c r="B71" s="16" t="str">
        <x:v>قسم فرعي</x:v>
      </x:c>
      <x:c r="C71" s="16" t="str">
        <x:v>3.11.4 الفيزياء والإمساك</x:v>
      </x:c>
      <x:c r="D71" s="16" t="str">
        <x:v>3.11.4 الفيزياء والإمساك</x:v>
      </x:c>
      <x:c r="E71" s="16" t="str">
        <x:v>P0228</x:v>
      </x:c>
      <x:c r="F71" s="16" t="str">
        <x:v>P0229</x:v>
      </x:c>
      <x:c r="G71" s="28" t="n">
        <x:v>2</x:v>
      </x:c>
      <x:c r="H71" s="16" t="str"/>
      <x:c r="I71" s="16" t="str">
        <x:v>chapters/chapter-03/index.html</x:v>
      </x:c>
      <x:c r="J71" s="16" t="str">
        <x:v>section-3-11-4</x:v>
      </x:c>
      <x:c r="K71" s="16" t="str">
        <x:v>chapters/chapter-03/index.html#section-3-11-4</x:v>
      </x:c>
      <x:c r="L71" s="16" t="str">
        <x:v>موجود في المصدر</x:v>
      </x:c>
      <x:c r="M71" s="17" t="str">
        <x:v>تحويل بعد مراجعة حالة الإنجاز والزمن</x:v>
      </x:c>
    </x:row>
    <x:row r="72" ht="15" hidden="0" customHeight="1">
      <x:c r="A72" s="21" t="str">
        <x:v>MAP-067</x:v>
      </x:c>
      <x:c r="B72" s="13" t="str">
        <x:v>قسم فرعي</x:v>
      </x:c>
      <x:c r="C72" s="13" t="str">
        <x:v>3.11.5 تدفق الواجهات</x:v>
      </x:c>
      <x:c r="D72" s="13" t="str">
        <x:v>3.11.5 تدفق الواجهات</x:v>
      </x:c>
      <x:c r="E72" s="13" t="str">
        <x:v>P0230</x:v>
      </x:c>
      <x:c r="F72" s="13" t="str">
        <x:v>P0231</x:v>
      </x:c>
      <x:c r="G72" s="27" t="n">
        <x:v>2</x:v>
      </x:c>
      <x:c r="H72" s="13" t="str"/>
      <x:c r="I72" s="13" t="str">
        <x:v>chapters/chapter-03/index.html</x:v>
      </x:c>
      <x:c r="J72" s="13" t="str">
        <x:v>section-3-11-5</x:v>
      </x:c>
      <x:c r="K72" s="13" t="str">
        <x:v>chapters/chapter-03/index.html#section-3-11-5</x:v>
      </x:c>
      <x:c r="L72" s="13" t="str">
        <x:v>موجود في المصدر</x:v>
      </x:c>
      <x:c r="M72" s="14" t="str">
        <x:v>تحويل بعد مراجعة حالة الإنجاز والزمن</x:v>
      </x:c>
    </x:row>
    <x:row r="73" ht="15" hidden="0" customHeight="1">
      <x:c r="A73" s="22" t="str">
        <x:v>MAP-068</x:v>
      </x:c>
      <x:c r="B73" s="16" t="str">
        <x:v>قسم فرعي</x:v>
      </x:c>
      <x:c r="C73" s="16" t="str">
        <x:v>3.11.6 TextMeshPro والتحذيرات</x:v>
      </x:c>
      <x:c r="D73" s="16" t="str">
        <x:v>3.11.6 TextMeshPro والتحذيرات</x:v>
      </x:c>
      <x:c r="E73" s="16" t="str">
        <x:v>P0232</x:v>
      </x:c>
      <x:c r="F73" s="16" t="str">
        <x:v>P0233</x:v>
      </x:c>
      <x:c r="G73" s="28" t="n">
        <x:v>2</x:v>
      </x:c>
      <x:c r="H73" s="16" t="str"/>
      <x:c r="I73" s="16" t="str">
        <x:v>chapters/chapter-03/index.html</x:v>
      </x:c>
      <x:c r="J73" s="16" t="str">
        <x:v>section-3-11-6</x:v>
      </x:c>
      <x:c r="K73" s="16" t="str">
        <x:v>chapters/chapter-03/index.html#section-3-11-6</x:v>
      </x:c>
      <x:c r="L73" s="16" t="str">
        <x:v>موجود في المصدر</x:v>
      </x:c>
      <x:c r="M73" s="17" t="str">
        <x:v>تحويل بعد مراجعة حالة الإنجاز والزمن</x:v>
      </x:c>
    </x:row>
    <x:row r="74" ht="15" hidden="0" customHeight="1">
      <x:c r="A74" s="21" t="str">
        <x:v>MAP-069</x:v>
      </x:c>
      <x:c r="B74" s="13" t="str">
        <x:v>قسم</x:v>
      </x:c>
      <x:c r="C74" s="13" t="str">
        <x:v>3.12 الاعتبارات الأخلاقية والسلامة</x:v>
      </x:c>
      <x:c r="D74" s="13" t="str">
        <x:v>3.12 الاعتبارات الأخلاقية والسلامة</x:v>
      </x:c>
      <x:c r="E74" s="13" t="str">
        <x:v>P0234</x:v>
      </x:c>
      <x:c r="F74" s="13" t="str">
        <x:v>P0235</x:v>
      </x:c>
      <x:c r="G74" s="27" t="n">
        <x:v>2</x:v>
      </x:c>
      <x:c r="H74" s="13" t="str"/>
      <x:c r="I74" s="13" t="str">
        <x:v>chapters/chapter-03/index.html</x:v>
      </x:c>
      <x:c r="J74" s="13" t="str">
        <x:v>section-3-12</x:v>
      </x:c>
      <x:c r="K74" s="13" t="str">
        <x:v>chapters/chapter-03/index.html#section-3-12</x:v>
      </x:c>
      <x:c r="L74" s="13" t="str">
        <x:v>موجود في المصدر</x:v>
      </x:c>
      <x:c r="M74" s="14" t="str">
        <x:v>تحويل بعد مراجعة حالة الإنجاز والزمن</x:v>
      </x:c>
    </x:row>
    <x:row r="75" ht="15" hidden="0" customHeight="1">
      <x:c r="A75" s="22" t="str">
        <x:v>MAP-070</x:v>
      </x:c>
      <x:c r="B75" s="16" t="str">
        <x:v>قسم</x:v>
      </x:c>
      <x:c r="C75" s="16" t="str">
        <x:v>3.13 سياسة الإتاحة والملكية</x:v>
      </x:c>
      <x:c r="D75" s="16" t="str">
        <x:v>3.13 سياسة الإتاحة والملكية</x:v>
      </x:c>
      <x:c r="E75" s="16" t="str">
        <x:v>P0236</x:v>
      </x:c>
      <x:c r="F75" s="16" t="str">
        <x:v>P0238</x:v>
      </x:c>
      <x:c r="G75" s="28" t="n">
        <x:v>2</x:v>
      </x:c>
      <x:c r="H75" s="16" t="str"/>
      <x:c r="I75" s="16" t="str">
        <x:v>chapters/chapter-03/index.html</x:v>
      </x:c>
      <x:c r="J75" s="16" t="str">
        <x:v>section-3-13</x:v>
      </x:c>
      <x:c r="K75" s="16" t="str">
        <x:v>chapters/chapter-03/index.html#section-3-13</x:v>
      </x:c>
      <x:c r="L75" s="16" t="str">
        <x:v>موجود في المصدر</x:v>
      </x:c>
      <x:c r="M75" s="17" t="str">
        <x:v>تحويل بعد مراجعة حالة الإنجاز والزمن</x:v>
      </x:c>
    </x:row>
    <x:row r="76" ht="15" hidden="0" customHeight="1">
      <x:c r="A76" s="21" t="str">
        <x:v>MAP-071</x:v>
      </x:c>
      <x:c r="B76" s="13" t="str">
        <x:v>فصل</x:v>
      </x:c>
      <x:c r="C76" s="13" t="str">
        <x:v>الفصل الرابع: نتائج التصميم والتطوير</x:v>
      </x:c>
      <x:c r="D76" s="13" t="str">
        <x:v>الفصل الرابع: نتائج التصميم والتطوير</x:v>
      </x:c>
      <x:c r="E76" s="13" t="str">
        <x:v>P0239</x:v>
      </x:c>
      <x:c r="F76" s="13" t="str">
        <x:v>P0239</x:v>
      </x:c>
      <x:c r="G76" s="27" t="n">
        <x:v>1</x:v>
      </x:c>
      <x:c r="H76" s="13" t="str"/>
      <x:c r="I76" s="13" t="str">
        <x:v>chapters/chapter-04/index.html</x:v>
      </x:c>
      <x:c r="J76" s="13" t="str">
        <x:v>top</x:v>
      </x:c>
      <x:c r="K76" s="13" t="str">
        <x:v>chapters/chapter-04/index.html</x:v>
      </x:c>
      <x:c r="L76" s="13" t="str">
        <x:v>موجود في المصدر</x:v>
      </x:c>
      <x:c r="M76" s="14" t="str">
        <x:v>تحويل بعد مراجعة حالة الإنجاز والزمن</x:v>
      </x:c>
    </x:row>
    <x:row r="77" ht="15" hidden="0" customHeight="1">
      <x:c r="A77" s="22" t="str">
        <x:v>MAP-072</x:v>
      </x:c>
      <x:c r="B77" s="16" t="str">
        <x:v>قسم</x:v>
      </x:c>
      <x:c r="C77" s="16" t="str">
        <x:v>4.1 طبيعة النتائج</x:v>
      </x:c>
      <x:c r="D77" s="16" t="str">
        <x:v>4.1 طبيعة النتائج</x:v>
      </x:c>
      <x:c r="E77" s="16" t="str">
        <x:v>P0240</x:v>
      </x:c>
      <x:c r="F77" s="16" t="str">
        <x:v>P0241</x:v>
      </x:c>
      <x:c r="G77" s="28" t="n">
        <x:v>2</x:v>
      </x:c>
      <x:c r="H77" s="16" t="str"/>
      <x:c r="I77" s="16" t="str">
        <x:v>chapters/chapter-04/index.html</x:v>
      </x:c>
      <x:c r="J77" s="16" t="str">
        <x:v>section-4-1</x:v>
      </x:c>
      <x:c r="K77" s="16" t="str">
        <x:v>chapters/chapter-04/index.html#section-4-1</x:v>
      </x:c>
      <x:c r="L77" s="16" t="str">
        <x:v>موجود في المصدر</x:v>
      </x:c>
      <x:c r="M77" s="17" t="str">
        <x:v>تحويل بعد مراجعة حالة الإنجاز والزمن</x:v>
      </x:c>
    </x:row>
    <x:row r="78" ht="15" hidden="0" customHeight="1">
      <x:c r="A78" s="21" t="str">
        <x:v>MAP-073</x:v>
      </x:c>
      <x:c r="B78" s="13" t="str">
        <x:v>قسم</x:v>
      </x:c>
      <x:c r="C78" s="13" t="str">
        <x:v>4.2 النتيجة الأولى: نموذج تربوي ثلاثي المراحل</x:v>
      </x:c>
      <x:c r="D78" s="13" t="str">
        <x:v>4.2 النتيجة الأولى: نموذج تربوي ثلاثي المراحل</x:v>
      </x:c>
      <x:c r="E78" s="13" t="str">
        <x:v>P0242</x:v>
      </x:c>
      <x:c r="F78" s="13" t="str">
        <x:v>P0243</x:v>
      </x:c>
      <x:c r="G78" s="27" t="n">
        <x:v>2</x:v>
      </x:c>
      <x:c r="H78" s="13" t="str"/>
      <x:c r="I78" s="13" t="str">
        <x:v>chapters/chapter-04/index.html</x:v>
      </x:c>
      <x:c r="J78" s="13" t="str">
        <x:v>section-4-2</x:v>
      </x:c>
      <x:c r="K78" s="13" t="str">
        <x:v>chapters/chapter-04/index.html#section-4-2</x:v>
      </x:c>
      <x:c r="L78" s="13" t="str">
        <x:v>موجود في المصدر</x:v>
      </x:c>
      <x:c r="M78" s="14" t="str">
        <x:v>تحويل بعد مراجعة حالة الإنجاز والزمن</x:v>
      </x:c>
    </x:row>
    <x:row r="79" ht="15" hidden="0" customHeight="1">
      <x:c r="A79" s="22" t="str">
        <x:v>MAP-074</x:v>
      </x:c>
      <x:c r="B79" s="16" t="str">
        <x:v>قسم</x:v>
      </x:c>
      <x:c r="C79" s="16" t="str">
        <x:v>4.3 النتيجة الثانية: غرفة تعلم مترابطة</x:v>
      </x:c>
      <x:c r="D79" s="16" t="str">
        <x:v>4.3 النتيجة الثانية: غرفة تعلم مترابطة</x:v>
      </x:c>
      <x:c r="E79" s="16" t="str">
        <x:v>P0244</x:v>
      </x:c>
      <x:c r="F79" s="16" t="str">
        <x:v>P0245</x:v>
      </x:c>
      <x:c r="G79" s="28" t="n">
        <x:v>2</x:v>
      </x:c>
      <x:c r="H79" s="16" t="str"/>
      <x:c r="I79" s="16" t="str">
        <x:v>chapters/chapter-04/index.html</x:v>
      </x:c>
      <x:c r="J79" s="16" t="str">
        <x:v>section-4-3</x:v>
      </x:c>
      <x:c r="K79" s="16" t="str">
        <x:v>chapters/chapter-04/index.html#section-4-3</x:v>
      </x:c>
      <x:c r="L79" s="16" t="str">
        <x:v>موجود في المصدر</x:v>
      </x:c>
      <x:c r="M79" s="17" t="str">
        <x:v>تحويل بعد مراجعة حالة الإنجاز والزمن</x:v>
      </x:c>
    </x:row>
    <x:row r="80" ht="15" hidden="0" customHeight="1">
      <x:c r="A80" s="21" t="str">
        <x:v>MAP-075</x:v>
      </x:c>
      <x:c r="B80" s="13" t="str">
        <x:v>قسم</x:v>
      </x:c>
      <x:c r="C80" s="13" t="str">
        <x:v>4.4 النتيجة الثالثة: التهيئة جزء من المحتوى</x:v>
      </x:c>
      <x:c r="D80" s="13" t="str">
        <x:v>4.4 النتيجة الثالثة: التهيئة جزء من المحتوى</x:v>
      </x:c>
      <x:c r="E80" s="13" t="str">
        <x:v>P0246</x:v>
      </x:c>
      <x:c r="F80" s="13" t="str">
        <x:v>P0247</x:v>
      </x:c>
      <x:c r="G80" s="27" t="n">
        <x:v>2</x:v>
      </x:c>
      <x:c r="H80" s="13" t="str"/>
      <x:c r="I80" s="13" t="str">
        <x:v>chapters/chapter-04/index.html</x:v>
      </x:c>
      <x:c r="J80" s="13" t="str">
        <x:v>section-4-4</x:v>
      </x:c>
      <x:c r="K80" s="13" t="str">
        <x:v>chapters/chapter-04/index.html#section-4-4</x:v>
      </x:c>
      <x:c r="L80" s="13" t="str">
        <x:v>موجود في المصدر</x:v>
      </x:c>
      <x:c r="M80" s="14" t="str">
        <x:v>تحويل بعد مراجعة حالة الإنجاز والزمن</x:v>
      </x:c>
    </x:row>
    <x:row r="81" ht="24" hidden="0" customHeight="1">
      <x:c r="A81" s="22" t="str">
        <x:v>MAP-076</x:v>
      </x:c>
      <x:c r="B81" s="16" t="str">
        <x:v>قسم</x:v>
      </x:c>
      <x:c r="C81" s="16" t="str">
        <x:v>4.5 النتيجة الرابعة: خصائص المجسمات بوصفها طبقات قابلة للتحكم</x:v>
      </x:c>
      <x:c r="D81" s="16" t="str">
        <x:v>4.5 النتيجة الرابعة: خصائص المجسمات بوصفها طبقات قابلة للتحكم</x:v>
      </x:c>
      <x:c r="E81" s="16" t="str">
        <x:v>P0248</x:v>
      </x:c>
      <x:c r="F81" s="16" t="str">
        <x:v>P0249</x:v>
      </x:c>
      <x:c r="G81" s="28" t="n">
        <x:v>2</x:v>
      </x:c>
      <x:c r="H81" s="16" t="str"/>
      <x:c r="I81" s="16" t="str">
        <x:v>chapters/chapter-04/index.html</x:v>
      </x:c>
      <x:c r="J81" s="16" t="str">
        <x:v>section-4-5</x:v>
      </x:c>
      <x:c r="K81" s="16" t="str">
        <x:v>chapters/chapter-04/index.html#section-4-5</x:v>
      </x:c>
      <x:c r="L81" s="16" t="str">
        <x:v>موجود في المصدر</x:v>
      </x:c>
      <x:c r="M81" s="17" t="str">
        <x:v>تحويل بعد مراجعة حالة الإنجاز والزمن</x:v>
      </x:c>
    </x:row>
    <x:row r="82" ht="15" hidden="0" customHeight="1">
      <x:c r="A82" s="21" t="str">
        <x:v>MAP-077</x:v>
      </x:c>
      <x:c r="B82" s="13" t="str">
        <x:v>قسم</x:v>
      </x:c>
      <x:c r="C82" s="13" t="str">
        <x:v>4.6 النتيجة الخامسة: الصوت العربي أداة لضبط مسار التعلم</x:v>
      </x:c>
      <x:c r="D82" s="13" t="str">
        <x:v>4.6 النتيجة الخامسة: الصوت العربي أداة لضبط مسار التعلم</x:v>
      </x:c>
      <x:c r="E82" s="13" t="str">
        <x:v>P0250</x:v>
      </x:c>
      <x:c r="F82" s="13" t="str">
        <x:v>P0251</x:v>
      </x:c>
      <x:c r="G82" s="27" t="n">
        <x:v>2</x:v>
      </x:c>
      <x:c r="H82" s="13" t="str"/>
      <x:c r="I82" s="13" t="str">
        <x:v>chapters/chapter-04/index.html</x:v>
      </x:c>
      <x:c r="J82" s="13" t="str">
        <x:v>section-4-6</x:v>
      </x:c>
      <x:c r="K82" s="13" t="str">
        <x:v>chapters/chapter-04/index.html#section-4-6</x:v>
      </x:c>
      <x:c r="L82" s="13" t="str">
        <x:v>موجود في المصدر</x:v>
      </x:c>
      <x:c r="M82" s="14" t="str">
        <x:v>تحويل بعد مراجعة حالة الإنجاز والزمن</x:v>
      </x:c>
    </x:row>
    <x:row r="83" ht="15" hidden="0" customHeight="1">
      <x:c r="A83" s="22" t="str">
        <x:v>MAP-078</x:v>
      </x:c>
      <x:c r="B83" s="16" t="str">
        <x:v>قسم</x:v>
      </x:c>
      <x:c r="C83" s="16" t="str">
        <x:v>4.7 مصفوفة التحقق الوظيفي</x:v>
      </x:c>
      <x:c r="D83" s="16" t="str">
        <x:v>4.7 مصفوفة التحقق الوظيفي</x:v>
      </x:c>
      <x:c r="E83" s="16" t="str">
        <x:v>P0252</x:v>
      </x:c>
      <x:c r="F83" s="16" t="str">
        <x:v>P0254</x:v>
      </x:c>
      <x:c r="G83" s="28" t="n">
        <x:v>2</x:v>
      </x:c>
      <x:c r="H83" s="16" t="str">
        <x:v>T013</x:v>
      </x:c>
      <x:c r="I83" s="16" t="str">
        <x:v>chapters/chapter-04/index.html</x:v>
      </x:c>
      <x:c r="J83" s="16" t="str">
        <x:v>section-4-7</x:v>
      </x:c>
      <x:c r="K83" s="16" t="str">
        <x:v>chapters/chapter-04/index.html#section-4-7</x:v>
      </x:c>
      <x:c r="L83" s="16" t="str">
        <x:v>موجود في المصدر</x:v>
      </x:c>
      <x:c r="M83" s="17" t="str">
        <x:v>تحويل بعد مراجعة حالة الإنجاز والزمن</x:v>
      </x:c>
    </x:row>
    <x:row r="84" ht="15" hidden="0" customHeight="1">
      <x:c r="A84" s="21" t="str">
        <x:v>MAP-079</x:v>
      </x:c>
      <x:c r="B84" s="13" t="str">
        <x:v>قسم</x:v>
      </x:c>
      <x:c r="C84" s="13" t="str">
        <x:v>4.8 النتيجة السادسة: المشكلة التقنية مصدر لقرار تربوي</x:v>
      </x:c>
      <x:c r="D84" s="13" t="str">
        <x:v>4.8 النتيجة السادسة: المشكلة التقنية مصدر لقرار تربوي</x:v>
      </x:c>
      <x:c r="E84" s="13" t="str">
        <x:v>P0255</x:v>
      </x:c>
      <x:c r="F84" s="13" t="str">
        <x:v>P0256</x:v>
      </x:c>
      <x:c r="G84" s="27" t="n">
        <x:v>2</x:v>
      </x:c>
      <x:c r="H84" s="13" t="str"/>
      <x:c r="I84" s="13" t="str">
        <x:v>chapters/chapter-04/index.html</x:v>
      </x:c>
      <x:c r="J84" s="13" t="str">
        <x:v>section-4-8</x:v>
      </x:c>
      <x:c r="K84" s="13" t="str">
        <x:v>chapters/chapter-04/index.html#section-4-8</x:v>
      </x:c>
      <x:c r="L84" s="13" t="str">
        <x:v>موجود في المصدر</x:v>
      </x:c>
      <x:c r="M84" s="14" t="str">
        <x:v>تحويل بعد مراجعة حالة الإنجاز والزمن</x:v>
      </x:c>
    </x:row>
    <x:row r="85" ht="15" hidden="0" customHeight="1">
      <x:c r="A85" s="22" t="str">
        <x:v>MAP-080</x:v>
      </x:c>
      <x:c r="B85" s="16" t="str">
        <x:v>قسم</x:v>
      </x:c>
      <x:c r="C85" s="16" t="str">
        <x:v>4.9 النتيجة السابعة: صياغة مساهمة واقعية</x:v>
      </x:c>
      <x:c r="D85" s="16" t="str">
        <x:v>4.9 النتيجة السابعة: صياغة مساهمة واقعية</x:v>
      </x:c>
      <x:c r="E85" s="16" t="str">
        <x:v>P0257</x:v>
      </x:c>
      <x:c r="F85" s="16" t="str">
        <x:v>P0258</x:v>
      </x:c>
      <x:c r="G85" s="28" t="n">
        <x:v>2</x:v>
      </x:c>
      <x:c r="H85" s="16" t="str"/>
      <x:c r="I85" s="16" t="str">
        <x:v>chapters/chapter-04/index.html</x:v>
      </x:c>
      <x:c r="J85" s="16" t="str">
        <x:v>section-4-9</x:v>
      </x:c>
      <x:c r="K85" s="16" t="str">
        <x:v>chapters/chapter-04/index.html#section-4-9</x:v>
      </x:c>
      <x:c r="L85" s="16" t="str">
        <x:v>موجود في المصدر</x:v>
      </x:c>
      <x:c r="M85" s="17" t="str">
        <x:v>تحويل بعد مراجعة حالة الإنجاز والزمن</x:v>
      </x:c>
    </x:row>
    <x:row r="86" ht="15" hidden="0" customHeight="1">
      <x:c r="A86" s="21" t="str">
        <x:v>MAP-081</x:v>
      </x:c>
      <x:c r="B86" s="13" t="str">
        <x:v>قسم</x:v>
      </x:c>
      <x:c r="C86" s="13" t="str">
        <x:v>4.10 الإجابة عن أسئلة البحث</x:v>
      </x:c>
      <x:c r="D86" s="13" t="str">
        <x:v>4.10 الإجابة عن أسئلة البحث</x:v>
      </x:c>
      <x:c r="E86" s="13" t="str">
        <x:v>P0259</x:v>
      </x:c>
      <x:c r="F86" s="13" t="str">
        <x:v>P0261</x:v>
      </x:c>
      <x:c r="G86" s="27" t="n">
        <x:v>2</x:v>
      </x:c>
      <x:c r="H86" s="13" t="str">
        <x:v>T014</x:v>
      </x:c>
      <x:c r="I86" s="13" t="str">
        <x:v>chapters/chapter-04/index.html</x:v>
      </x:c>
      <x:c r="J86" s="13" t="str">
        <x:v>section-4-10</x:v>
      </x:c>
      <x:c r="K86" s="13" t="str">
        <x:v>chapters/chapter-04/index.html#section-4-10</x:v>
      </x:c>
      <x:c r="L86" s="13" t="str">
        <x:v>موجود في المصدر</x:v>
      </x:c>
      <x:c r="M86" s="14" t="str">
        <x:v>تحويل بعد مراجعة حالة الإنجاز والزمن</x:v>
      </x:c>
    </x:row>
    <x:row r="87" ht="15" hidden="0" customHeight="1">
      <x:c r="A87" s="22" t="str">
        <x:v>MAP-082</x:v>
      </x:c>
      <x:c r="B87" s="16" t="str">
        <x:v>قسم</x:v>
      </x:c>
      <x:c r="C87" s="16" t="str">
        <x:v>4.11 ملخص الفصل</x:v>
      </x:c>
      <x:c r="D87" s="16" t="str">
        <x:v>4.11 ملخص الفصل</x:v>
      </x:c>
      <x:c r="E87" s="16" t="str">
        <x:v>P0262</x:v>
      </x:c>
      <x:c r="F87" s="16" t="str">
        <x:v>P0264</x:v>
      </x:c>
      <x:c r="G87" s="28" t="n">
        <x:v>2</x:v>
      </x:c>
      <x:c r="H87" s="16" t="str"/>
      <x:c r="I87" s="16" t="str">
        <x:v>chapters/chapter-04/index.html</x:v>
      </x:c>
      <x:c r="J87" s="16" t="str">
        <x:v>section-4-11</x:v>
      </x:c>
      <x:c r="K87" s="16" t="str">
        <x:v>chapters/chapter-04/index.html#section-4-11</x:v>
      </x:c>
      <x:c r="L87" s="16" t="str">
        <x:v>موجود في المصدر</x:v>
      </x:c>
      <x:c r="M87" s="17" t="str">
        <x:v>تحويل بعد مراجعة حالة الإنجاز والزمن</x:v>
      </x:c>
    </x:row>
    <x:row r="88" ht="15" hidden="0" customHeight="1">
      <x:c r="A88" s="21" t="str">
        <x:v>MAP-083</x:v>
      </x:c>
      <x:c r="B88" s="13" t="str">
        <x:v>فصل</x:v>
      </x:c>
      <x:c r="C88" s="13" t="str">
        <x:v>الفصل الخامس: المناقشة والاستنتاجات والتوصيات</x:v>
      </x:c>
      <x:c r="D88" s="13" t="str">
        <x:v>الفصل الخامس: المناقشة والاستنتاجات والتوصيات</x:v>
      </x:c>
      <x:c r="E88" s="13" t="str">
        <x:v>P0265</x:v>
      </x:c>
      <x:c r="F88" s="13" t="str">
        <x:v>P0265</x:v>
      </x:c>
      <x:c r="G88" s="27" t="n">
        <x:v>1</x:v>
      </x:c>
      <x:c r="H88" s="13" t="str"/>
      <x:c r="I88" s="13" t="str">
        <x:v>chapters/chapter-05/index.html</x:v>
      </x:c>
      <x:c r="J88" s="13" t="str">
        <x:v>top</x:v>
      </x:c>
      <x:c r="K88" s="13" t="str">
        <x:v>chapters/chapter-05/index.html</x:v>
      </x:c>
      <x:c r="L88" s="13" t="str">
        <x:v>موجود في المصدر</x:v>
      </x:c>
      <x:c r="M88" s="14" t="str">
        <x:v>تحويل بعد مراجعة حالة الإنجاز والزمن</x:v>
      </x:c>
    </x:row>
    <x:row r="89" ht="15" hidden="0" customHeight="1">
      <x:c r="A89" s="22" t="str">
        <x:v>MAP-084</x:v>
      </x:c>
      <x:c r="B89" s="16" t="str">
        <x:v>قسم</x:v>
      </x:c>
      <x:c r="C89" s="16" t="str">
        <x:v>5.1 مناقشة النتائج في ضوء المشكلة</x:v>
      </x:c>
      <x:c r="D89" s="16" t="str">
        <x:v>5.1 مناقشة النتائج في ضوء المشكلة</x:v>
      </x:c>
      <x:c r="E89" s="16" t="str">
        <x:v>P0266</x:v>
      </x:c>
      <x:c r="F89" s="16" t="str">
        <x:v>P0267</x:v>
      </x:c>
      <x:c r="G89" s="28" t="n">
        <x:v>2</x:v>
      </x:c>
      <x:c r="H89" s="16" t="str"/>
      <x:c r="I89" s="16" t="str">
        <x:v>chapters/chapter-05/index.html</x:v>
      </x:c>
      <x:c r="J89" s="16" t="str">
        <x:v>section-5-1</x:v>
      </x:c>
      <x:c r="K89" s="16" t="str">
        <x:v>chapters/chapter-05/index.html#section-5-1</x:v>
      </x:c>
      <x:c r="L89" s="16" t="str">
        <x:v>موجود في المصدر</x:v>
      </x:c>
      <x:c r="M89" s="17" t="str">
        <x:v>تحويل بعد مراجعة حالة الإنجاز والزمن</x:v>
      </x:c>
    </x:row>
    <x:row r="90" ht="15" hidden="0" customHeight="1">
      <x:c r="A90" s="21" t="str">
        <x:v>MAP-085</x:v>
      </x:c>
      <x:c r="B90" s="13" t="str">
        <x:v>قسم</x:v>
      </x:c>
      <x:c r="C90" s="13" t="str">
        <x:v>5.2 التهيئة والعبء المعرفي</x:v>
      </x:c>
      <x:c r="D90" s="13" t="str">
        <x:v>5.2 التهيئة والعبء المعرفي</x:v>
      </x:c>
      <x:c r="E90" s="13" t="str">
        <x:v>P0268</x:v>
      </x:c>
      <x:c r="F90" s="13" t="str">
        <x:v>P0269</x:v>
      </x:c>
      <x:c r="G90" s="27" t="n">
        <x:v>2</x:v>
      </x:c>
      <x:c r="H90" s="13" t="str"/>
      <x:c r="I90" s="13" t="str">
        <x:v>chapters/chapter-05/index.html</x:v>
      </x:c>
      <x:c r="J90" s="13" t="str">
        <x:v>section-5-2</x:v>
      </x:c>
      <x:c r="K90" s="13" t="str">
        <x:v>chapters/chapter-05/index.html#section-5-2</x:v>
      </x:c>
      <x:c r="L90" s="13" t="str">
        <x:v>موجود في المصدر</x:v>
      </x:c>
      <x:c r="M90" s="14" t="str">
        <x:v>تحويل بعد مراجعة حالة الإنجاز والزمن</x:v>
      </x:c>
    </x:row>
    <x:row r="91" ht="15" hidden="0" customHeight="1">
      <x:c r="A91" s="22" t="str">
        <x:v>MAP-086</x:v>
      </x:c>
      <x:c r="B91" s="16" t="str">
        <x:v>قسم</x:v>
      </x:c>
      <x:c r="C91" s="16" t="str">
        <x:v>5.3 الإرشاد الصوتي العربي بين الاستقلال والتوجيه</x:v>
      </x:c>
      <x:c r="D91" s="16" t="str">
        <x:v>5.3 الإرشاد الصوتي العربي بين الاستقلال والتوجيه</x:v>
      </x:c>
      <x:c r="E91" s="16" t="str">
        <x:v>P0270</x:v>
      </x:c>
      <x:c r="F91" s="16" t="str">
        <x:v>P0272</x:v>
      </x:c>
      <x:c r="G91" s="28" t="n">
        <x:v>3</x:v>
      </x:c>
      <x:c r="H91" s="16" t="str"/>
      <x:c r="I91" s="16" t="str">
        <x:v>chapters/chapter-05/index.html</x:v>
      </x:c>
      <x:c r="J91" s="16" t="str">
        <x:v>section-5-3</x:v>
      </x:c>
      <x:c r="K91" s="16" t="str">
        <x:v>chapters/chapter-05/index.html#section-5-3</x:v>
      </x:c>
      <x:c r="L91" s="16" t="str">
        <x:v>موجود في المصدر</x:v>
      </x:c>
      <x:c r="M91" s="17" t="str">
        <x:v>تحويل بعد مراجعة حالة الإنجاز والزمن</x:v>
      </x:c>
    </x:row>
    <x:row r="92" ht="15" hidden="0" customHeight="1">
      <x:c r="A92" s="21" t="str">
        <x:v>MAP-087</x:v>
      </x:c>
      <x:c r="B92" s="13" t="str">
        <x:v>قسم</x:v>
      </x:c>
      <x:c r="C92" s="13" t="str">
        <x:v>5.4 التفاعل المتجسد والتصور الفراغي</x:v>
      </x:c>
      <x:c r="D92" s="13" t="str">
        <x:v>5.4 التفاعل المتجسد والتصور الفراغي</x:v>
      </x:c>
      <x:c r="E92" s="13" t="str">
        <x:v>P0273</x:v>
      </x:c>
      <x:c r="F92" s="13" t="str">
        <x:v>P0274</x:v>
      </x:c>
      <x:c r="G92" s="27" t="n">
        <x:v>2</x:v>
      </x:c>
      <x:c r="H92" s="13" t="str"/>
      <x:c r="I92" s="13" t="str">
        <x:v>chapters/chapter-05/index.html</x:v>
      </x:c>
      <x:c r="J92" s="13" t="str">
        <x:v>section-5-4</x:v>
      </x:c>
      <x:c r="K92" s="13" t="str">
        <x:v>chapters/chapter-05/index.html#section-5-4</x:v>
      </x:c>
      <x:c r="L92" s="13" t="str">
        <x:v>موجود في المصدر</x:v>
      </x:c>
      <x:c r="M92" s="14" t="str">
        <x:v>تحويل بعد مراجعة حالة الإنجاز والزمن</x:v>
      </x:c>
    </x:row>
    <x:row r="93" ht="15" hidden="0" customHeight="1">
      <x:c r="A93" s="22" t="str">
        <x:v>MAP-088</x:v>
      </x:c>
      <x:c r="B93" s="16" t="str">
        <x:v>قسم</x:v>
      </x:c>
      <x:c r="C93" s="16" t="str">
        <x:v>5.5 المقارنة مع الدراسات والتطبيقات</x:v>
      </x:c>
      <x:c r="D93" s="16" t="str">
        <x:v>5.5 المقارنة مع الدراسات والتطبيقات</x:v>
      </x:c>
      <x:c r="E93" s="16" t="str">
        <x:v>P0275</x:v>
      </x:c>
      <x:c r="F93" s="16" t="str">
        <x:v>P0276</x:v>
      </x:c>
      <x:c r="G93" s="28" t="n">
        <x:v>2</x:v>
      </x:c>
      <x:c r="H93" s="16" t="str"/>
      <x:c r="I93" s="16" t="str">
        <x:v>chapters/chapter-05/index.html</x:v>
      </x:c>
      <x:c r="J93" s="16" t="str">
        <x:v>section-5-5</x:v>
      </x:c>
      <x:c r="K93" s="16" t="str">
        <x:v>chapters/chapter-05/index.html#section-5-5</x:v>
      </x:c>
      <x:c r="L93" s="16" t="str">
        <x:v>موجود في المصدر</x:v>
      </x:c>
      <x:c r="M93" s="17" t="str">
        <x:v>تحويل بعد مراجعة حالة الإنجاز والزمن</x:v>
      </x:c>
    </x:row>
    <x:row r="94" ht="15" hidden="0" customHeight="1">
      <x:c r="A94" s="21" t="str">
        <x:v>MAP-089</x:v>
      </x:c>
      <x:c r="B94" s="13" t="str">
        <x:v>قسم</x:v>
      </x:c>
      <x:c r="C94" s="13" t="str">
        <x:v>5.6 حدود البحث</x:v>
      </x:c>
      <x:c r="D94" s="13" t="str">
        <x:v>5.6 حدود البحث</x:v>
      </x:c>
      <x:c r="E94" s="13" t="str">
        <x:v>P0277</x:v>
      </x:c>
      <x:c r="F94" s="13" t="str">
        <x:v>P0286</x:v>
      </x:c>
      <x:c r="G94" s="27" t="n">
        <x:v>10</x:v>
      </x:c>
      <x:c r="H94" s="13" t="str"/>
      <x:c r="I94" s="13" t="str">
        <x:v>chapters/chapter-05/index.html</x:v>
      </x:c>
      <x:c r="J94" s="13" t="str">
        <x:v>section-5-6</x:v>
      </x:c>
      <x:c r="K94" s="13" t="str">
        <x:v>chapters/chapter-05/index.html#section-5-6</x:v>
      </x:c>
      <x:c r="L94" s="13" t="str">
        <x:v>موجود في المصدر</x:v>
      </x:c>
      <x:c r="M94" s="14" t="str">
        <x:v>تحويل بعد مراجعة حالة الإنجاز والزمن</x:v>
      </x:c>
    </x:row>
    <x:row r="95" ht="15" hidden="0" customHeight="1">
      <x:c r="A95" s="22" t="str">
        <x:v>MAP-090</x:v>
      </x:c>
      <x:c r="B95" s="16" t="str">
        <x:v>قسم</x:v>
      </x:c>
      <x:c r="C95" s="16" t="str">
        <x:v>5.7 الاستنتاجات</x:v>
      </x:c>
      <x:c r="D95" s="16" t="str">
        <x:v>5.7 الاستنتاجات</x:v>
      </x:c>
      <x:c r="E95" s="16" t="str">
        <x:v>P0287</x:v>
      </x:c>
      <x:c r="F95" s="16" t="str">
        <x:v>P0295</x:v>
      </x:c>
      <x:c r="G95" s="28" t="n">
        <x:v>9</x:v>
      </x:c>
      <x:c r="H95" s="16" t="str"/>
      <x:c r="I95" s="16" t="str">
        <x:v>chapters/chapter-05/index.html</x:v>
      </x:c>
      <x:c r="J95" s="16" t="str">
        <x:v>section-5-7</x:v>
      </x:c>
      <x:c r="K95" s="16" t="str">
        <x:v>chapters/chapter-05/index.html#section-5-7</x:v>
      </x:c>
      <x:c r="L95" s="16" t="str">
        <x:v>موجود في المصدر</x:v>
      </x:c>
      <x:c r="M95" s="17" t="str">
        <x:v>تحويل بعد مراجعة حالة الإنجاز والزمن</x:v>
      </x:c>
    </x:row>
    <x:row r="96" ht="15" hidden="0" customHeight="1">
      <x:c r="A96" s="21" t="str">
        <x:v>MAP-091</x:v>
      </x:c>
      <x:c r="B96" s="13" t="str">
        <x:v>قسم</x:v>
      </x:c>
      <x:c r="C96" s="13" t="str">
        <x:v>5.8 التوصيات التطبيقية</x:v>
      </x:c>
      <x:c r="D96" s="13" t="str">
        <x:v>5.8 التوصيات التطبيقية</x:v>
      </x:c>
      <x:c r="E96" s="13" t="str">
        <x:v>P0296</x:v>
      </x:c>
      <x:c r="F96" s="13" t="str">
        <x:v>P0306</x:v>
      </x:c>
      <x:c r="G96" s="27" t="n">
        <x:v>11</x:v>
      </x:c>
      <x:c r="H96" s="13" t="str"/>
      <x:c r="I96" s="13" t="str">
        <x:v>chapters/chapter-05/index.html</x:v>
      </x:c>
      <x:c r="J96" s="13" t="str">
        <x:v>section-5-8</x:v>
      </x:c>
      <x:c r="K96" s="13" t="str">
        <x:v>chapters/chapter-05/index.html#section-5-8</x:v>
      </x:c>
      <x:c r="L96" s="13" t="str">
        <x:v>موجود في المصدر</x:v>
      </x:c>
      <x:c r="M96" s="14" t="str">
        <x:v>تحويل بعد مراجعة حالة الإنجاز والزمن</x:v>
      </x:c>
    </x:row>
    <x:row r="97" ht="15" hidden="0" customHeight="1">
      <x:c r="A97" s="22" t="str">
        <x:v>MAP-092</x:v>
      </x:c>
      <x:c r="B97" s="16" t="str">
        <x:v>قسم</x:v>
      </x:c>
      <x:c r="C97" s="16" t="str">
        <x:v>5.9 مقترح دراسة الفاعلية المستقبلية</x:v>
      </x:c>
      <x:c r="D97" s="16" t="str">
        <x:v>5.9 مقترح دراسة الفاعلية المستقبلية</x:v>
      </x:c>
      <x:c r="E97" s="16" t="str">
        <x:v>P0307</x:v>
      </x:c>
      <x:c r="F97" s="16" t="str">
        <x:v>P0308</x:v>
      </x:c>
      <x:c r="G97" s="28" t="n">
        <x:v>2</x:v>
      </x:c>
      <x:c r="H97" s="16" t="str"/>
      <x:c r="I97" s="16" t="str">
        <x:v>chapters/chapter-05/index.html</x:v>
      </x:c>
      <x:c r="J97" s="16" t="str">
        <x:v>section-5-9</x:v>
      </x:c>
      <x:c r="K97" s="16" t="str">
        <x:v>chapters/chapter-05/index.html#section-5-9</x:v>
      </x:c>
      <x:c r="L97" s="16" t="str">
        <x:v>موجود في المصدر</x:v>
      </x:c>
      <x:c r="M97" s="17" t="str">
        <x:v>تحويل بعد مراجعة حالة الإنجاز والزمن</x:v>
      </x:c>
    </x:row>
    <x:row r="98" ht="15" hidden="0" customHeight="1">
      <x:c r="A98" s="21" t="str">
        <x:v>MAP-093</x:v>
      </x:c>
      <x:c r="B98" s="13" t="str">
        <x:v>قسم</x:v>
      </x:c>
      <x:c r="C98" s="13" t="str">
        <x:v>5.10 خطة التطوير والنشر</x:v>
      </x:c>
      <x:c r="D98" s="13" t="str">
        <x:v>5.10 خطة التطوير والنشر</x:v>
      </x:c>
      <x:c r="E98" s="13" t="str">
        <x:v>P0309</x:v>
      </x:c>
      <x:c r="F98" s="13" t="str">
        <x:v>P0311</x:v>
      </x:c>
      <x:c r="G98" s="27" t="n">
        <x:v>2</x:v>
      </x:c>
      <x:c r="H98" s="13" t="str">
        <x:v>T015</x:v>
      </x:c>
      <x:c r="I98" s="13" t="str">
        <x:v>chapters/chapter-05/index.html</x:v>
      </x:c>
      <x:c r="J98" s="13" t="str">
        <x:v>section-5-10</x:v>
      </x:c>
      <x:c r="K98" s="13" t="str">
        <x:v>chapters/chapter-05/index.html#section-5-10</x:v>
      </x:c>
      <x:c r="L98" s="13" t="str">
        <x:v>موجود في المصدر</x:v>
      </x:c>
      <x:c r="M98" s="14" t="str">
        <x:v>تحويل بعد مراجعة حالة الإنجاز والزمن</x:v>
      </x:c>
    </x:row>
    <x:row r="99" ht="15" hidden="0" customHeight="1">
      <x:c r="A99" s="22" t="str">
        <x:v>MAP-094</x:v>
      </x:c>
      <x:c r="B99" s="16" t="str">
        <x:v>قسم</x:v>
      </x:c>
      <x:c r="C99" s="16" t="str">
        <x:v>5.11 خاتمة</x:v>
      </x:c>
      <x:c r="D99" s="16" t="str">
        <x:v>5.11 خاتمة</x:v>
      </x:c>
      <x:c r="E99" s="16" t="str">
        <x:v>P0312</x:v>
      </x:c>
      <x:c r="F99" s="16" t="str">
        <x:v>P0314</x:v>
      </x:c>
      <x:c r="G99" s="28" t="n">
        <x:v>2</x:v>
      </x:c>
      <x:c r="H99" s="16" t="str"/>
      <x:c r="I99" s="16" t="str">
        <x:v>chapters/chapter-05/index.html</x:v>
      </x:c>
      <x:c r="J99" s="16" t="str">
        <x:v>section-5-11</x:v>
      </x:c>
      <x:c r="K99" s="16" t="str">
        <x:v>chapters/chapter-05/index.html#section-5-11</x:v>
      </x:c>
      <x:c r="L99" s="16" t="str">
        <x:v>موجود في المصدر</x:v>
      </x:c>
      <x:c r="M99" s="17" t="str">
        <x:v>تحويل بعد مراجعة حالة الإنجاز والزمن</x:v>
      </x:c>
    </x:row>
    <x:row r="100" ht="15" hidden="0" customHeight="1">
      <x:c r="A100" s="21" t="str">
        <x:v>MAP-095</x:v>
      </x:c>
      <x:c r="B100" s="13" t="str">
        <x:v>صفحة</x:v>
      </x:c>
      <x:c r="C100" s="13" t="str">
        <x:v>المراجع</x:v>
      </x:c>
      <x:c r="D100" s="13" t="str">
        <x:v>المراجع</x:v>
      </x:c>
      <x:c r="E100" s="13" t="str">
        <x:v>P0315</x:v>
      </x:c>
      <x:c r="F100" s="13" t="str">
        <x:v>P0315</x:v>
      </x:c>
      <x:c r="G100" s="27" t="n">
        <x:v>1</x:v>
      </x:c>
      <x:c r="H100" s="13" t="str"/>
      <x:c r="I100" s="13" t="str">
        <x:v>references/index.html</x:v>
      </x:c>
      <x:c r="J100" s="13" t="str">
        <x:v>top</x:v>
      </x:c>
      <x:c r="K100" s="13" t="str">
        <x:v>references/index.html</x:v>
      </x:c>
      <x:c r="L100" s="13" t="str">
        <x:v>موجود في المصدر</x:v>
      </x:c>
      <x:c r="M100" s="14" t="str">
        <x:v>تحويل مع حفظ الترقيم</x:v>
      </x:c>
    </x:row>
    <x:row r="101" ht="15" hidden="0" customHeight="1">
      <x:c r="A101" s="22" t="str">
        <x:v>MAP-096</x:v>
      </x:c>
      <x:c r="B101" s="16" t="str">
        <x:v>قسم مراجع</x:v>
      </x:c>
      <x:c r="C101" s="16" t="str">
        <x:v>أولًا: المراجع العلمية</x:v>
      </x:c>
      <x:c r="D101" s="16" t="str">
        <x:v>أولًا: المراجع العلمية</x:v>
      </x:c>
      <x:c r="E101" s="16" t="str">
        <x:v>P0316</x:v>
      </x:c>
      <x:c r="F101" s="16" t="str">
        <x:v>P0337</x:v>
      </x:c>
      <x:c r="G101" s="28" t="n">
        <x:v>22</x:v>
      </x:c>
      <x:c r="H101" s="16" t="str"/>
      <x:c r="I101" s="16" t="str">
        <x:v>references/index.html</x:v>
      </x:c>
      <x:c r="J101" s="16" t="str">
        <x:v>scientific</x:v>
      </x:c>
      <x:c r="K101" s="16" t="str">
        <x:v>references/index.html#scientific</x:v>
      </x:c>
      <x:c r="L101" s="16" t="str">
        <x:v>موجود في المصدر</x:v>
      </x:c>
      <x:c r="M101" s="17" t="str">
        <x:v>تحويل مع حفظ الترقيم</x:v>
      </x:c>
    </x:row>
    <x:row r="102" ht="15" hidden="0" customHeight="1">
      <x:c r="A102" s="21" t="str">
        <x:v>MAP-097</x:v>
      </x:c>
      <x:c r="B102" s="13" t="str">
        <x:v>قسم مراجع</x:v>
      </x:c>
      <x:c r="C102" s="13" t="str">
        <x:v>ثانيًا: الوثائق التقنية وصفحات المنتجات</x:v>
      </x:c>
      <x:c r="D102" s="13" t="str">
        <x:v>ثانيًا: الوثائق التقنية وصفحات المنتجات</x:v>
      </x:c>
      <x:c r="E102" s="13" t="str">
        <x:v>P0338</x:v>
      </x:c>
      <x:c r="F102" s="13" t="str">
        <x:v>P0350</x:v>
      </x:c>
      <x:c r="G102" s="27" t="n">
        <x:v>12</x:v>
      </x:c>
      <x:c r="H102" s="13" t="str"/>
      <x:c r="I102" s="13" t="str">
        <x:v>references/index.html</x:v>
      </x:c>
      <x:c r="J102" s="13" t="str">
        <x:v>technical</x:v>
      </x:c>
      <x:c r="K102" s="13" t="str">
        <x:v>references/index.html#technical</x:v>
      </x:c>
      <x:c r="L102" s="13" t="str">
        <x:v>موجود في المصدر</x:v>
      </x:c>
      <x:c r="M102" s="14" t="str">
        <x:v>تحويل مع حفظ الترقيم</x:v>
      </x:c>
    </x:row>
    <x:row r="103" ht="15" hidden="0" customHeight="1">
      <x:c r="A103" s="22" t="str">
        <x:v>MAP-098</x:v>
      </x:c>
      <x:c r="B103" s="16" t="str">
        <x:v>فهرس</x:v>
      </x:c>
      <x:c r="C103" s="16" t="str">
        <x:v>الملاحق</x:v>
      </x:c>
      <x:c r="D103" s="16" t="str">
        <x:v>الملاحق</x:v>
      </x:c>
      <x:c r="E103" s="16" t="str">
        <x:v>P0351</x:v>
      </x:c>
      <x:c r="F103" s="16" t="str">
        <x:v>P0351</x:v>
      </x:c>
      <x:c r="G103" s="28" t="n">
        <x:v>1</x:v>
      </x:c>
      <x:c r="H103" s="16" t="str"/>
      <x:c r="I103" s="16" t="str">
        <x:v>appendices/index.html</x:v>
      </x:c>
      <x:c r="J103" s="16" t="str">
        <x:v>top</x:v>
      </x:c>
      <x:c r="K103" s="16" t="str">
        <x:v>appendices/index.html</x:v>
      </x:c>
      <x:c r="L103" s="16" t="str">
        <x:v>موجود في المصدر</x:v>
      </x:c>
      <x:c r="M103" s="17" t="str">
        <x:v>تحويل مع حفظ الترقيم</x:v>
      </x:c>
    </x:row>
    <x:row r="104" ht="15" hidden="0" customHeight="1">
      <x:c r="A104" s="21" t="str">
        <x:v>MAP-099</x:v>
      </x:c>
      <x:c r="B104" s="13" t="str">
        <x:v>ملحق</x:v>
      </x:c>
      <x:c r="C104" s="13" t="str">
        <x:v>الملحق (أ): قائمة المتطلبات التربوية المختصرة</x:v>
      </x:c>
      <x:c r="D104" s="13" t="str">
        <x:v>الملحق (أ): قائمة المتطلبات التربوية المختصرة</x:v>
      </x:c>
      <x:c r="E104" s="13" t="str">
        <x:v>P0352</x:v>
      </x:c>
      <x:c r="F104" s="13" t="str">
        <x:v>P0363</x:v>
      </x:c>
      <x:c r="G104" s="27" t="n">
        <x:v>12</x:v>
      </x:c>
      <x:c r="H104" s="13" t="str"/>
      <x:c r="I104" s="13" t="str">
        <x:v>appendices/appendix-a/index.html</x:v>
      </x:c>
      <x:c r="J104" s="13" t="str">
        <x:v>top</x:v>
      </x:c>
      <x:c r="K104" s="13" t="str">
        <x:v>appendices/appendix-a/index.html</x:v>
      </x:c>
      <x:c r="L104" s="13" t="str">
        <x:v>موجود في المصدر</x:v>
      </x:c>
      <x:c r="M104" s="14" t="str">
        <x:v>تحويل مع حفظ الترقيم</x:v>
      </x:c>
    </x:row>
    <x:row r="105" ht="15" hidden="0" customHeight="1">
      <x:c r="A105" s="22" t="str">
        <x:v>MAP-100</x:v>
      </x:c>
      <x:c r="B105" s="16" t="str">
        <x:v>ملحق</x:v>
      </x:c>
      <x:c r="C105" s="16" t="str">
        <x:v>الملحق (ب): بروتوكول اختبار وظيفي</x:v>
      </x:c>
      <x:c r="D105" s="16" t="str">
        <x:v>الملحق (ب): بروتوكول اختبار وظيفي</x:v>
      </x:c>
      <x:c r="E105" s="16" t="str">
        <x:v>P0364</x:v>
      </x:c>
      <x:c r="F105" s="16" t="str">
        <x:v>P0375</x:v>
      </x:c>
      <x:c r="G105" s="28" t="n">
        <x:v>12</x:v>
      </x:c>
      <x:c r="H105" s="16" t="str"/>
      <x:c r="I105" s="16" t="str">
        <x:v>appendices/appendix-b/index.html</x:v>
      </x:c>
      <x:c r="J105" s="16" t="str">
        <x:v>top</x:v>
      </x:c>
      <x:c r="K105" s="16" t="str">
        <x:v>appendices/appendix-b/index.html</x:v>
      </x:c>
      <x:c r="L105" s="16" t="str">
        <x:v>موجود في المصدر</x:v>
      </x:c>
      <x:c r="M105" s="17" t="str">
        <x:v>تحويل مع حفظ الترقيم</x:v>
      </x:c>
    </x:row>
    <x:row r="106" ht="15" hidden="0" customHeight="1">
      <x:c r="A106" s="21" t="str">
        <x:v>MAP-101</x:v>
      </x:c>
      <x:c r="B106" s="13" t="str">
        <x:v>ملحق</x:v>
      </x:c>
      <x:c r="C106" s="13" t="str">
        <x:v>الملحق (ج): بروتوكول السلامة المقترح عند التجربة مع الطلبة</x:v>
      </x:c>
      <x:c r="D106" s="13" t="str">
        <x:v>الملحق (ج): بروتوكول السلامة المقترح عند التجربة مع الطلبة</x:v>
      </x:c>
      <x:c r="E106" s="13" t="str">
        <x:v>P0376</x:v>
      </x:c>
      <x:c r="F106" s="13" t="str">
        <x:v>P0384</x:v>
      </x:c>
      <x:c r="G106" s="27" t="n">
        <x:v>9</x:v>
      </x:c>
      <x:c r="H106" s="13" t="str"/>
      <x:c r="I106" s="13" t="str">
        <x:v>appendices/appendix-c/index.html</x:v>
      </x:c>
      <x:c r="J106" s="13" t="str">
        <x:v>top</x:v>
      </x:c>
      <x:c r="K106" s="13" t="str">
        <x:v>appendices/appendix-c/index.html</x:v>
      </x:c>
      <x:c r="L106" s="13" t="str">
        <x:v>موجود في المصدر</x:v>
      </x:c>
      <x:c r="M106" s="14" t="str">
        <x:v>تحويل مع حفظ الترقيم</x:v>
      </x:c>
    </x:row>
    <x:row r="107" ht="15" hidden="0" customHeight="1">
      <x:c r="A107" s="22" t="str">
        <x:v>MAP-102</x:v>
      </x:c>
      <x:c r="B107" s="16" t="str">
        <x:v>ملحق</x:v>
      </x:c>
      <x:c r="C107" s="16" t="str">
        <x:v>الملحق (د): دليل موجز للمعلم</x:v>
      </x:c>
      <x:c r="D107" s="16" t="str">
        <x:v>الملحق (د): دليل موجز للمعلم</x:v>
      </x:c>
      <x:c r="E107" s="16" t="str">
        <x:v>P0385</x:v>
      </x:c>
      <x:c r="F107" s="16" t="str">
        <x:v>P0386</x:v>
      </x:c>
      <x:c r="G107" s="28" t="n">
        <x:v>2</x:v>
      </x:c>
      <x:c r="H107" s="16" t="str"/>
      <x:c r="I107" s="16" t="str">
        <x:v>appendices/appendix-d/index.html</x:v>
      </x:c>
      <x:c r="J107" s="16" t="str">
        <x:v>top</x:v>
      </x:c>
      <x:c r="K107" s="16" t="str">
        <x:v>appendices/appendix-d/index.html</x:v>
      </x:c>
      <x:c r="L107" s="16" t="str">
        <x:v>موجود في المصدر</x:v>
      </x:c>
      <x:c r="M107" s="17" t="str">
        <x:v>تحويل مع حفظ الترقيم</x:v>
      </x:c>
    </x:row>
    <x:row r="108" ht="15" hidden="0" customHeight="1">
      <x:c r="A108" s="21" t="str">
        <x:v>MAP-103</x:v>
      </x:c>
      <x:c r="B108" s="13" t="str">
        <x:v>ملحق</x:v>
      </x:c>
      <x:c r="C108" s="13" t="str">
        <x:v>الملحق (هـ): دليل موجز للطالب</x:v>
      </x:c>
      <x:c r="D108" s="13" t="str">
        <x:v>الملحق (هـ): دليل موجز للطالب</x:v>
      </x:c>
      <x:c r="E108" s="13" t="str">
        <x:v>P0387</x:v>
      </x:c>
      <x:c r="F108" s="13" t="str">
        <x:v>P0395</x:v>
      </x:c>
      <x:c r="G108" s="27" t="n">
        <x:v>9</x:v>
      </x:c>
      <x:c r="H108" s="13" t="str"/>
      <x:c r="I108" s="13" t="str">
        <x:v>appendices/appendix-e/index.html</x:v>
      </x:c>
      <x:c r="J108" s="13" t="str">
        <x:v>top</x:v>
      </x:c>
      <x:c r="K108" s="13" t="str">
        <x:v>appendices/appendix-e/index.html</x:v>
      </x:c>
      <x:c r="L108" s="13" t="str">
        <x:v>موجود في المصدر</x:v>
      </x:c>
      <x:c r="M108" s="14" t="str">
        <x:v>تحويل مع حفظ الترقيم</x:v>
      </x:c>
    </x:row>
    <x:row r="109" ht="15" hidden="0" customHeight="1">
      <x:c r="A109" s="22" t="str">
        <x:v>MAP-104</x:v>
      </x:c>
      <x:c r="B109" s="16" t="str">
        <x:v>ملحق</x:v>
      </x:c>
      <x:c r="C109" s="16" t="str">
        <x:v>الملحق (و): سجل التطوير المقترح</x:v>
      </x:c>
      <x:c r="D109" s="16" t="str">
        <x:v>الملحق (و): سجل التطوير المقترح</x:v>
      </x:c>
      <x:c r="E109" s="16" t="str">
        <x:v>P0396</x:v>
      </x:c>
      <x:c r="F109" s="16" t="str">
        <x:v>P0398</x:v>
      </x:c>
      <x:c r="G109" s="28" t="n">
        <x:v>2</x:v>
      </x:c>
      <x:c r="H109" s="16" t="str">
        <x:v>T016</x:v>
      </x:c>
      <x:c r="I109" s="16" t="str">
        <x:v>appendices/appendix-f/index.html</x:v>
      </x:c>
      <x:c r="J109" s="16" t="str">
        <x:v>top</x:v>
      </x:c>
      <x:c r="K109" s="16" t="str">
        <x:v>appendices/appendix-f/index.html</x:v>
      </x:c>
      <x:c r="L109" s="16" t="str">
        <x:v>موجود في المصدر</x:v>
      </x:c>
      <x:c r="M109" s="17" t="str">
        <x:v>تحويل مع حفظ الترقيم</x:v>
      </x:c>
    </x:row>
    <x:row r="110" ht="15" hidden="0" customHeight="1">
      <x:c r="A110" s="21" t="str">
        <x:v>MAP-105</x:v>
      </x:c>
      <x:c r="B110" s="13" t="str">
        <x:v>ملحق</x:v>
      </x:c>
      <x:c r="C110" s="13" t="str">
        <x:v>الملحق (ز): بيان النشر المقترح</x:v>
      </x:c>
      <x:c r="D110" s="13" t="str">
        <x:v>الملحق (ز): بيان النشر المقترح</x:v>
      </x:c>
      <x:c r="E110" s="13" t="str">
        <x:v>P0399</x:v>
      </x:c>
      <x:c r="F110" s="13" t="str">
        <x:v>P0400</x:v>
      </x:c>
      <x:c r="G110" s="27" t="n">
        <x:v>1</x:v>
      </x:c>
      <x:c r="H110" s="13" t="str">
        <x:v>T017</x:v>
      </x:c>
      <x:c r="I110" s="13" t="str">
        <x:v>appendices/appendix-g/index.html</x:v>
      </x:c>
      <x:c r="J110" s="13" t="str">
        <x:v>top</x:v>
      </x:c>
      <x:c r="K110" s="13" t="str">
        <x:v>appendices/appendix-g/index.html</x:v>
      </x:c>
      <x:c r="L110" s="13" t="str">
        <x:v>موجود في المصدر</x:v>
      </x:c>
      <x:c r="M110" s="14" t="str">
        <x:v>تحويل مع حفظ الترقيم</x:v>
      </x:c>
    </x:row>
    <x:row r="111" ht="15" hidden="0" customHeight="1">
      <x:c r="A111" s="22" t="str">
        <x:v>MAP-106</x:v>
      </x:c>
      <x:c r="B111" s="16" t="str">
        <x:v>ملحق</x:v>
      </x:c>
      <x:c r="C111" s="16" t="str">
        <x:v>الملحق (ح): توضيح الفرق بين هذه الدراسة ودراسة الأثر المستقبلية</x:v>
      </x:c>
      <x:c r="D111" s="16" t="str">
        <x:v>الملحق (ح): توضيح الفرق بين هذه الدراسة ودراسة الأثر المستقبلية</x:v>
      </x:c>
      <x:c r="E111" s="16" t="str">
        <x:v>P0401</x:v>
      </x:c>
      <x:c r="F111" s="16" t="str">
        <x:v>P0405</x:v>
      </x:c>
      <x:c r="G111" s="28" t="n">
        <x:v>3</x:v>
      </x:c>
      <x:c r="H111" s="16" t="str">
        <x:v>T018</x:v>
      </x:c>
      <x:c r="I111" s="16" t="str">
        <x:v>appendices/appendix-h/index.html</x:v>
      </x:c>
      <x:c r="J111" s="16" t="str">
        <x:v>top</x:v>
      </x:c>
      <x:c r="K111" s="16" t="str">
        <x:v>appendices/appendix-h/index.html</x:v>
      </x:c>
      <x:c r="L111" s="16" t="str">
        <x:v>موجود في المصدر</x:v>
      </x:c>
      <x:c r="M111" s="17" t="str">
        <x:v>تحويل مع حفظ الترقيم</x:v>
      </x:c>
    </x:row>
    <x:row r="112" ht="15" hidden="0" customHeight="1">
      <x:c r="A112" s="21" t="str">
        <x:v>MAP-107</x:v>
      </x:c>
      <x:c r="B112" s="13" t="str">
        <x:v>ملحق</x:v>
      </x:c>
      <x:c r="C112" s="13" t="str">
        <x:v>الملحق (ط): التوثيق التطبيقي للإصدار المستقل</x:v>
      </x:c>
      <x:c r="D112" s="13" t="str">
        <x:v>الملحق (ط)</x:v>
      </x:c>
      <x:c r="E112" s="13" t="str">
        <x:v>P0406</x:v>
      </x:c>
      <x:c r="F112" s="13" t="str">
        <x:v>P0409</x:v>
      </x:c>
      <x:c r="G112" s="27" t="n">
        <x:v>4</x:v>
      </x:c>
      <x:c r="H112" s="13" t="str"/>
      <x:c r="I112" s="13" t="str">
        <x:v>appendices/appendix-i/index.html</x:v>
      </x:c>
      <x:c r="J112" s="13" t="str">
        <x:v>top</x:v>
      </x:c>
      <x:c r="K112" s="13" t="str">
        <x:v>appendices/appendix-i/index.html</x:v>
      </x:c>
      <x:c r="L112" s="13" t="str">
        <x:v>موجود في المصدر</x:v>
      </x:c>
      <x:c r="M112" s="14" t="str">
        <x:v>تحويل مع حفظ الترقيم</x:v>
      </x:c>
    </x:row>
    <x:row r="113" ht="15" hidden="0" customHeight="1">
      <x:c r="A113" s="22" t="str">
        <x:v>MAP-108</x:v>
      </x:c>
      <x:c r="B113" s="16" t="str">
        <x:v>قسم ملحق</x:v>
      </x:c>
      <x:c r="C113" s="16" t="str">
        <x:v>بطاقة تعريف التطبيق</x:v>
      </x:c>
      <x:c r="D113" s="16" t="str">
        <x:v>طاقة تعريف التطبيق</x:v>
      </x:c>
      <x:c r="E113" s="16" t="str">
        <x:v>P0410</x:v>
      </x:c>
      <x:c r="F113" s="16" t="str">
        <x:v>P0411</x:v>
      </x:c>
      <x:c r="G113" s="28" t="n">
        <x:v>1</x:v>
      </x:c>
      <x:c r="H113" s="16" t="str">
        <x:v>T019</x:v>
      </x:c>
      <x:c r="I113" s="16" t="str">
        <x:v>appendices/appendix-i/index.html</x:v>
      </x:c>
      <x:c r="J113" s="16" t="str">
        <x:v>appendix-i-section-01</x:v>
      </x:c>
      <x:c r="K113" s="16" t="str">
        <x:v>appendices/appendix-i/index.html#appendix-i-section-01</x:v>
      </x:c>
      <x:c r="L113" s="16" t="str">
        <x:v>موجود في المصدر</x:v>
      </x:c>
      <x:c r="M113" s="17" t="str">
        <x:v>تصحيح طاقة إلى بطاقة في عنوان الموقع، مع تسجيل التصحيح</x:v>
      </x:c>
    </x:row>
    <x:row r="114" ht="15" hidden="0" customHeight="1">
      <x:c r="A114" s="21" t="str">
        <x:v>MAP-109</x:v>
      </x:c>
      <x:c r="B114" s="13" t="str">
        <x:v>قسم ملحق</x:v>
      </x:c>
      <x:c r="C114" s="13" t="str">
        <x:v>ما أُنجز في هذا الإصدار</x:v>
      </x:c>
      <x:c r="D114" s="13" t="str">
        <x:v>ما أُنجز في هذا الإصدار</x:v>
      </x:c>
      <x:c r="E114" s="13" t="str">
        <x:v>P0412</x:v>
      </x:c>
      <x:c r="F114" s="13" t="str">
        <x:v>P0419</x:v>
      </x:c>
      <x:c r="G114" s="27" t="n">
        <x:v>7</x:v>
      </x:c>
      <x:c r="H114" s="13" t="str"/>
      <x:c r="I114" s="13" t="str">
        <x:v>appendices/appendix-i/index.html</x:v>
      </x:c>
      <x:c r="J114" s="13" t="str">
        <x:v>appendix-i-section-02</x:v>
      </x:c>
      <x:c r="K114" s="13" t="str">
        <x:v>appendices/appendix-i/index.html#appendix-i-section-02</x:v>
      </x:c>
      <x:c r="L114" s="13" t="str">
        <x:v>موجود في المصدر</x:v>
      </x:c>
      <x:c r="M114" s="14" t="str">
        <x:v>تحويل مع حفظ الترقيم</x:v>
      </x:c>
    </x:row>
    <x:row r="115" ht="15" hidden="0" customHeight="1">
      <x:c r="A115" s="22" t="str">
        <x:v>MAP-110</x:v>
      </x:c>
      <x:c r="B115" s="16" t="str">
        <x:v>قسم ملحق</x:v>
      </x:c>
      <x:c r="C115" s="16" t="str">
        <x:v>دليل البناء والتثبيت والتشغيل</x:v>
      </x:c>
      <x:c r="D115" s="16" t="str">
        <x:v>دليل البناء والتثبيت والتشغيل</x:v>
      </x:c>
      <x:c r="E115" s="16" t="str">
        <x:v>P0420</x:v>
      </x:c>
      <x:c r="F115" s="16" t="str">
        <x:v>P0426</x:v>
      </x:c>
      <x:c r="G115" s="28" t="n">
        <x:v>4</x:v>
      </x:c>
      <x:c r="H115" s="16" t="str"/>
      <x:c r="I115" s="16" t="str">
        <x:v>appendices/appendix-i/index.html</x:v>
      </x:c>
      <x:c r="J115" s="16" t="str">
        <x:v>appendix-i-section-03</x:v>
      </x:c>
      <x:c r="K115" s="16" t="str">
        <x:v>appendices/appendix-i/index.html#appendix-i-section-03</x:v>
      </x:c>
      <x:c r="L115" s="16" t="str">
        <x:v>موجود في المصدر</x:v>
      </x:c>
      <x:c r="M115" s="17" t="str">
        <x:v>تحويل مع حفظ الترقيم</x:v>
      </x:c>
    </x:row>
    <x:row r="116" ht="15" hidden="0" customHeight="1">
      <x:c r="A116" s="21" t="str">
        <x:v>MAP-111</x:v>
      </x:c>
      <x:c r="B116" s="13" t="str">
        <x:v>قسم ملحق</x:v>
      </x:c>
      <x:c r="C116" s="13" t="str">
        <x:v>متطلبات الاستخدام</x:v>
      </x:c>
      <x:c r="D116" s="13" t="str">
        <x:v>متطلبات الاستخدام</x:v>
      </x:c>
      <x:c r="E116" s="13" t="str">
        <x:v>P0427</x:v>
      </x:c>
      <x:c r="F116" s="13" t="str">
        <x:v>P0427</x:v>
      </x:c>
      <x:c r="G116" s="27" t="n">
        <x:v>1</x:v>
      </x:c>
      <x:c r="H116" s="13" t="str"/>
      <x:c r="I116" s="13" t="str">
        <x:v>appendices/appendix-i/index.html</x:v>
      </x:c>
      <x:c r="J116" s="13" t="str">
        <x:v>appendix-i-section-04</x:v>
      </x:c>
      <x:c r="K116" s="13" t="str">
        <x:v>appendices/appendix-i/index.html#appendix-i-section-04</x:v>
      </x:c>
      <x:c r="L116" s="13" t="str">
        <x:v>موجود في المصدر</x:v>
      </x:c>
      <x:c r="M116" s="14" t="str">
        <x:v>تحويل مع حفظ الترقيم</x:v>
      </x:c>
    </x:row>
    <x:row r="117" ht="15" hidden="0" customHeight="1">
      <x:c r="A117" s="22" t="str">
        <x:v>MAP-112</x:v>
      </x:c>
      <x:c r="B117" s="16" t="str">
        <x:v>قسم ملحق</x:v>
      </x:c>
      <x:c r="C117" s="16" t="str">
        <x:v>أولًا: ما يحتاجه الطالب</x:v>
      </x:c>
      <x:c r="D117" s="16" t="str">
        <x:v>أولًا: ما يحتاجه الطالب</x:v>
      </x:c>
      <x:c r="E117" s="16" t="str">
        <x:v>P0428</x:v>
      </x:c>
      <x:c r="F117" s="16" t="str">
        <x:v>P0433</x:v>
      </x:c>
      <x:c r="G117" s="28" t="n">
        <x:v>6</x:v>
      </x:c>
      <x:c r="H117" s="16" t="str"/>
      <x:c r="I117" s="16" t="str">
        <x:v>appendices/appendix-i/index.html</x:v>
      </x:c>
      <x:c r="J117" s="16" t="str">
        <x:v>appendix-i-section-05</x:v>
      </x:c>
      <x:c r="K117" s="16" t="str">
        <x:v>appendices/appendix-i/index.html#appendix-i-section-05</x:v>
      </x:c>
      <x:c r="L117" s="16" t="str">
        <x:v>موجود في المصدر</x:v>
      </x:c>
      <x:c r="M117" s="17" t="str">
        <x:v>تحويل مع حفظ الترقيم</x:v>
      </x:c>
    </x:row>
    <x:row r="118" ht="15" hidden="0" customHeight="1">
      <x:c r="A118" s="21" t="str">
        <x:v>MAP-113</x:v>
      </x:c>
      <x:c r="B118" s="13" t="str">
        <x:v>قسم ملحق</x:v>
      </x:c>
      <x:c r="C118" s="13" t="str">
        <x:v>ثانيًا: ما يحتاجه المعلم أو المدرسة</x:v>
      </x:c>
      <x:c r="D118" s="13" t="str">
        <x:v>ثانيًا: ما يحتاجه المعلم أو المدرسة</x:v>
      </x:c>
      <x:c r="E118" s="13" t="str">
        <x:v>P0434</x:v>
      </x:c>
      <x:c r="F118" s="13" t="str">
        <x:v>P0439</x:v>
      </x:c>
      <x:c r="G118" s="27" t="n">
        <x:v>6</x:v>
      </x:c>
      <x:c r="H118" s="13" t="str"/>
      <x:c r="I118" s="13" t="str">
        <x:v>appendices/appendix-i/index.html</x:v>
      </x:c>
      <x:c r="J118" s="13" t="str">
        <x:v>appendix-i-section-06</x:v>
      </x:c>
      <x:c r="K118" s="13" t="str">
        <x:v>appendices/appendix-i/index.html#appendix-i-section-06</x:v>
      </x:c>
      <x:c r="L118" s="13" t="str">
        <x:v>موجود في المصدر</x:v>
      </x:c>
      <x:c r="M118" s="14" t="str">
        <x:v>تحويل مع حفظ الترقيم</x:v>
      </x:c>
    </x:row>
    <x:row r="119" ht="15" hidden="0" customHeight="1">
      <x:c r="A119" s="22" t="str">
        <x:v>MAP-114</x:v>
      </x:c>
      <x:c r="B119" s="16" t="str">
        <x:v>قسم ملحق</x:v>
      </x:c>
      <x:c r="C119" s="16" t="str">
        <x:v>متطلبات تقنية مختصرة</x:v>
      </x:c>
      <x:c r="D119" s="16" t="str">
        <x:v>متطلبات تقنية مختصرة</x:v>
      </x:c>
      <x:c r="E119" s="16" t="str">
        <x:v>P0440</x:v>
      </x:c>
      <x:c r="F119" s="16" t="str">
        <x:v>P0441</x:v>
      </x:c>
      <x:c r="G119" s="28" t="n">
        <x:v>1</x:v>
      </x:c>
      <x:c r="H119" s="16" t="str">
        <x:v>T020</x:v>
      </x:c>
      <x:c r="I119" s="16" t="str">
        <x:v>appendices/appendix-i/index.html</x:v>
      </x:c>
      <x:c r="J119" s="16" t="str">
        <x:v>appendix-i-section-07</x:v>
      </x:c>
      <x:c r="K119" s="16" t="str">
        <x:v>appendices/appendix-i/index.html#appendix-i-section-07</x:v>
      </x:c>
      <x:c r="L119" s="16" t="str">
        <x:v>موجود في المصدر</x:v>
      </x:c>
      <x:c r="M119" s="17" t="str">
        <x:v>تحويل مع حفظ الترقيم</x:v>
      </x:c>
    </x:row>
    <x:row r="120" ht="15" hidden="0" customHeight="1">
      <x:c r="A120" s="21" t="str">
        <x:v>MAP-115</x:v>
      </x:c>
      <x:c r="B120" s="13" t="str">
        <x:v>قسم ملحق</x:v>
      </x:c>
      <x:c r="C120" s="13" t="str">
        <x:v>أداة التثبيت الداخلي للمعلم</x:v>
      </x:c>
      <x:c r="D120" s="13" t="str">
        <x:v>أداة التثبيت الداخلي للمعلم</x:v>
      </x:c>
      <x:c r="E120" s="13" t="str">
        <x:v>P0442</x:v>
      </x:c>
      <x:c r="F120" s="13" t="str">
        <x:v>P0444</x:v>
      </x:c>
      <x:c r="G120" s="27" t="n">
        <x:v>2</x:v>
      </x:c>
      <x:c r="H120" s="13" t="str"/>
      <x:c r="I120" s="13" t="str">
        <x:v>appendices/appendix-i/index.html</x:v>
      </x:c>
      <x:c r="J120" s="13" t="str">
        <x:v>appendix-i-section-08</x:v>
      </x:c>
      <x:c r="K120" s="13" t="str">
        <x:v>appendices/appendix-i/index.html#appendix-i-section-08</x:v>
      </x:c>
      <x:c r="L120" s="13" t="str">
        <x:v>موجود في المصدر</x:v>
      </x:c>
      <x:c r="M120" s="14" t="str">
        <x:v>تحويل مع حفظ الترقيم</x:v>
      </x:c>
    </x:row>
    <x:row r="121" ht="15" hidden="0" customHeight="1">
      <x:c r="A121" s="22" t="str">
        <x:v>MAP-116</x:v>
      </x:c>
      <x:c r="B121" s="16" t="str">
        <x:v>قسم ملحق</x:v>
      </x:c>
      <x:c r="C121" s="16" t="str">
        <x:v>طريقة تثبيت التطبيق وتشغيله</x:v>
      </x:c>
      <x:c r="D121" s="16" t="str">
        <x:v>طريقة تثبيت التطبيق وتشغيله</x:v>
      </x:c>
      <x:c r="E121" s="16" t="str">
        <x:v>P0445</x:v>
      </x:c>
      <x:c r="F121" s="16" t="str">
        <x:v>P0445</x:v>
      </x:c>
      <x:c r="G121" s="28" t="n">
        <x:v>1</x:v>
      </x:c>
      <x:c r="H121" s="16" t="str"/>
      <x:c r="I121" s="16" t="str">
        <x:v>appendices/appendix-i/index.html</x:v>
      </x:c>
      <x:c r="J121" s="16" t="str">
        <x:v>appendix-i-section-09</x:v>
      </x:c>
      <x:c r="K121" s="16" t="str">
        <x:v>appendices/appendix-i/index.html#appendix-i-section-09</x:v>
      </x:c>
      <x:c r="L121" s="16" t="str">
        <x:v>موجود في المصدر</x:v>
      </x:c>
      <x:c r="M121" s="17" t="str">
        <x:v>تحويل مع حفظ الترقيم</x:v>
      </x:c>
    </x:row>
    <x:row r="122" ht="24" hidden="0" customHeight="1">
      <x:c r="A122" s="21" t="str">
        <x:v>MAP-117</x:v>
      </x:c>
      <x:c r="B122" s="13" t="str">
        <x:v>قسم ملحق</x:v>
      </x:c>
      <x:c r="C122" s="13" t="str">
        <x:v>أ. التثبيت الأولي للنسخة الداخلية</x:v>
      </x:c>
      <x:c r="D122" s="13" t="str">
        <x:v>أ. التثبيت الأولي للنسخة الداخلية — ينفذه المعلم أو المسؤول التقني</x:v>
      </x:c>
      <x:c r="E122" s="13" t="str">
        <x:v>P0446</x:v>
      </x:c>
      <x:c r="F122" s="13" t="str">
        <x:v>P0451</x:v>
      </x:c>
      <x:c r="G122" s="27" t="n">
        <x:v>6</x:v>
      </x:c>
      <x:c r="H122" s="13" t="str"/>
      <x:c r="I122" s="13" t="str">
        <x:v>appendices/appendix-i/index.html</x:v>
      </x:c>
      <x:c r="J122" s="13" t="str">
        <x:v>appendix-i-section-10</x:v>
      </x:c>
      <x:c r="K122" s="13" t="str">
        <x:v>appendices/appendix-i/index.html#appendix-i-section-10</x:v>
      </x:c>
      <x:c r="L122" s="13" t="str">
        <x:v>موجود في المصدر</x:v>
      </x:c>
      <x:c r="M122" s="14" t="str">
        <x:v>تحويل مع حفظ الترقيم</x:v>
      </x:c>
    </x:row>
    <x:row r="123" ht="15" hidden="0" customHeight="1">
      <x:c r="A123" s="22" t="str">
        <x:v>MAP-118</x:v>
      </x:c>
      <x:c r="B123" s="16" t="str">
        <x:v>قسم ملحق</x:v>
      </x:c>
      <x:c r="C123" s="16" t="str">
        <x:v>ب. تشغيل التطبيق من داخل النظارة</x:v>
      </x:c>
      <x:c r="D123" s="16" t="str">
        <x:v>ب. تشغيل التطبيق من داخل النظارة</x:v>
      </x:c>
      <x:c r="E123" s="16" t="str">
        <x:v>P0452</x:v>
      </x:c>
      <x:c r="F123" s="16" t="str">
        <x:v>P0457</x:v>
      </x:c>
      <x:c r="G123" s="28" t="n">
        <x:v>6</x:v>
      </x:c>
      <x:c r="H123" s="16" t="str"/>
      <x:c r="I123" s="16" t="str">
        <x:v>appendices/appendix-i/index.html</x:v>
      </x:c>
      <x:c r="J123" s="16" t="str">
        <x:v>appendix-i-section-11</x:v>
      </x:c>
      <x:c r="K123" s="16" t="str">
        <x:v>appendices/appendix-i/index.html#appendix-i-section-11</x:v>
      </x:c>
      <x:c r="L123" s="16" t="str">
        <x:v>موجود في المصدر</x:v>
      </x:c>
      <x:c r="M123" s="17" t="str">
        <x:v>تحويل مع حفظ الترقيم</x:v>
      </x:c>
    </x:row>
    <x:row r="124" ht="15" hidden="0" customHeight="1">
      <x:c r="A124" s="21" t="str">
        <x:v>MAP-119</x:v>
      </x:c>
      <x:c r="B124" s="13" t="str">
        <x:v>قسم ملحق</x:v>
      </x:c>
      <x:c r="C124" s="13" t="str">
        <x:v>ج. المسار التعليمي داخل التطبيق</x:v>
      </x:c>
      <x:c r="D124" s="13" t="str">
        <x:v>ج. المسار التعليمي داخل التطبيق</x:v>
      </x:c>
      <x:c r="E124" s="13" t="str">
        <x:v>P0458</x:v>
      </x:c>
      <x:c r="F124" s="13" t="str">
        <x:v>P0461</x:v>
      </x:c>
      <x:c r="G124" s="27" t="n">
        <x:v>2</x:v>
      </x:c>
      <x:c r="H124" s="13" t="str">
        <x:v>T021</x:v>
      </x:c>
      <x:c r="I124" s="13" t="str">
        <x:v>appendices/appendix-i/index.html</x:v>
      </x:c>
      <x:c r="J124" s="13" t="str">
        <x:v>appendix-i-section-12</x:v>
      </x:c>
      <x:c r="K124" s="13" t="str">
        <x:v>appendices/appendix-i/index.html#appendix-i-section-12</x:v>
      </x:c>
      <x:c r="L124" s="13" t="str">
        <x:v>موجود في المصدر</x:v>
      </x:c>
      <x:c r="M124" s="14" t="str">
        <x:v>تحويل مع حفظ الترقيم</x:v>
      </x:c>
    </x:row>
    <x:row r="125" ht="15" hidden="0" customHeight="1">
      <x:c r="A125" s="22" t="str">
        <x:v>MAP-120</x:v>
      </x:c>
      <x:c r="B125" s="16" t="str">
        <x:v>قسم ملحق</x:v>
      </x:c>
      <x:c r="C125" s="16" t="str">
        <x:v>صور من داخل التطبيق: الكرة والأسطوانة</x:v>
      </x:c>
      <x:c r="D125" s="16" t="str">
        <x:v>صور من داخل التطبيق: الكرة والأسطوانة</x:v>
      </x:c>
      <x:c r="E125" s="16" t="str">
        <x:v>P0462</x:v>
      </x:c>
      <x:c r="F125" s="16" t="str">
        <x:v>P0467</x:v>
      </x:c>
      <x:c r="G125" s="28" t="n">
        <x:v>3</x:v>
      </x:c>
      <x:c r="H125" s="16" t="str">
        <x:v>T022</x:v>
      </x:c>
      <x:c r="I125" s="16" t="str">
        <x:v>appendices/appendix-i/index.html</x:v>
      </x:c>
      <x:c r="J125" s="16" t="str">
        <x:v>appendix-i-section-13</x:v>
      </x:c>
      <x:c r="K125" s="16" t="str">
        <x:v>appendices/appendix-i/index.html#appendix-i-section-13</x:v>
      </x:c>
      <x:c r="L125" s="16" t="str">
        <x:v>موجود في المصدر</x:v>
      </x:c>
      <x:c r="M125" s="17" t="str">
        <x:v>تحويل مع حفظ الترقيم</x:v>
      </x:c>
    </x:row>
    <x:row r="126" ht="15" hidden="0" customHeight="1">
      <x:c r="A126" s="21" t="str">
        <x:v>MAP-121</x:v>
      </x:c>
      <x:c r="B126" s="13" t="str">
        <x:v>قسم ملحق</x:v>
      </x:c>
      <x:c r="C126" s="13" t="str">
        <x:v>صور من داخل التطبيق: تدوير المكعب والتوثيق المرئي</x:v>
      </x:c>
      <x:c r="D126" s="13" t="str">
        <x:v>صور من داخل التطبيق: تدوير المكعب والتوثيق المرئي</x:v>
      </x:c>
      <x:c r="E126" s="13" t="str">
        <x:v>P0468</x:v>
      </x:c>
      <x:c r="F126" s="13" t="str">
        <x:v>P0470</x:v>
      </x:c>
      <x:c r="G126" s="27" t="n">
        <x:v>2</x:v>
      </x:c>
      <x:c r="H126" s="13" t="str"/>
      <x:c r="I126" s="13" t="str">
        <x:v>appendices/appendix-i/index.html</x:v>
      </x:c>
      <x:c r="J126" s="13" t="str">
        <x:v>appendix-i-section-14</x:v>
      </x:c>
      <x:c r="K126" s="13" t="str">
        <x:v>appendices/appendix-i/index.html#appendix-i-section-14</x:v>
      </x:c>
      <x:c r="L126" s="13" t="str">
        <x:v>موجود في المصدر</x:v>
      </x:c>
      <x:c r="M126" s="14" t="str">
        <x:v>تحويل مع حفظ الترقيم</x:v>
      </x:c>
    </x:row>
    <x:row r="127" ht="15" hidden="0" customHeight="1">
      <x:c r="A127" s="22" t="str">
        <x:v>MAP-122</x:v>
      </x:c>
      <x:c r="B127" s="16" t="str">
        <x:v>قسم ملحق</x:v>
      </x:c>
      <x:c r="C127" s="16" t="str">
        <x:v>الفيديو التوثيقي</x:v>
      </x:c>
      <x:c r="D127" s="16" t="str">
        <x:v>الفيديو التوثيقي</x:v>
      </x:c>
      <x:c r="E127" s="16" t="str">
        <x:v>P0471</x:v>
      </x:c>
      <x:c r="F127" s="16" t="str">
        <x:v>P0473</x:v>
      </x:c>
      <x:c r="G127" s="28" t="n">
        <x:v>2</x:v>
      </x:c>
      <x:c r="H127" s="16" t="str">
        <x:v>T023</x:v>
      </x:c>
      <x:c r="I127" s="16" t="str">
        <x:v>appendices/appendix-i/index.html</x:v>
      </x:c>
      <x:c r="J127" s="16" t="str">
        <x:v>appendix-i-section-15</x:v>
      </x:c>
      <x:c r="K127" s="16" t="str">
        <x:v>appendices/appendix-i/index.html#appendix-i-section-15</x:v>
      </x:c>
      <x:c r="L127" s="16" t="str">
        <x:v>موجود في المصدر</x:v>
      </x:c>
      <x:c r="M127" s="17" t="str">
        <x:v>تحويل مع حفظ الترقيم</x:v>
      </x:c>
    </x:row>
    <x:row r="128" ht="15" hidden="0" customHeight="1">
      <x:c r="A128" s="21" t="str">
        <x:v>MAP-123</x:v>
      </x:c>
      <x:c r="B128" s="13" t="str">
        <x:v>قسم ملحق</x:v>
      </x:c>
      <x:c r="C128" s="13" t="str">
        <x:v>رابط التطبيق وحالة الإتاحة</x:v>
      </x:c>
      <x:c r="D128" s="13" t="str">
        <x:v>رابط التطبيق وحالة الإتاحة</x:v>
      </x:c>
      <x:c r="E128" s="13" t="str">
        <x:v>P0474</x:v>
      </x:c>
      <x:c r="F128" s="13" t="str">
        <x:v>P0476</x:v>
      </x:c>
      <x:c r="G128" s="27" t="n">
        <x:v>3</x:v>
      </x:c>
      <x:c r="H128" s="13" t="str"/>
      <x:c r="I128" s="13" t="str">
        <x:v>appendices/appendix-i/index.html</x:v>
      </x:c>
      <x:c r="J128" s="13" t="str">
        <x:v>appendix-i-section-16</x:v>
      </x:c>
      <x:c r="K128" s="13" t="str">
        <x:v>appendices/appendix-i/index.html#appendix-i-section-16</x:v>
      </x:c>
      <x:c r="L128" s="13" t="str">
        <x:v>موجود في المصدر</x:v>
      </x:c>
      <x:c r="M128" s="14" t="str">
        <x:v>تحويل مع حفظ الترقيم</x:v>
      </x:c>
    </x:row>
    <x:row r="129" ht="15" hidden="0" customHeight="1">
      <x:c r="A129" s="22" t="str">
        <x:v>MAP-124</x:v>
      </x:c>
      <x:c r="B129" s="16" t="str">
        <x:v>قسم ملحق</x:v>
      </x:c>
      <x:c r="C129" s="16" t="str">
        <x:v>صور إضافية من مرحلة التهيئة والتدريب العملي</x:v>
      </x:c>
      <x:c r="D129" s="16" t="str">
        <x:v>صور إضافية من مرحلة التهيئة والتدريب العملي</x:v>
      </x:c>
      <x:c r="E129" s="16" t="str">
        <x:v>P0477</x:v>
      </x:c>
      <x:c r="F129" s="16" t="str">
        <x:v>P0481</x:v>
      </x:c>
      <x:c r="G129" s="28" t="n">
        <x:v>3</x:v>
      </x:c>
      <x:c r="H129" s="16" t="str"/>
      <x:c r="I129" s="16" t="str">
        <x:v>appendices/appendix-i/index.html</x:v>
      </x:c>
      <x:c r="J129" s="16" t="str">
        <x:v>appendix-i-section-17</x:v>
      </x:c>
      <x:c r="K129" s="16" t="str">
        <x:v>appendices/appendix-i/index.html#appendix-i-section-17</x:v>
      </x:c>
      <x:c r="L129" s="16" t="str">
        <x:v>موجود في المصدر</x:v>
      </x:c>
      <x:c r="M129" s="17" t="str">
        <x:v>تحويل مع حفظ الترقيم</x:v>
      </x:c>
    </x:row>
    <x:row r="130" ht="15" hidden="0" customHeight="1">
      <x:c r="A130" s="21" t="str">
        <x:v>MAP-125</x:v>
      </x:c>
      <x:c r="B130" s="13" t="str">
        <x:v>قسم ملحق</x:v>
      </x:c>
      <x:c r="C130" s="13" t="str">
        <x:v>التفاعل الحر مع المجسمات في البيئة الافتراضية</x:v>
      </x:c>
      <x:c r="D130" s="13" t="str">
        <x:v>التفاعل الحر مع المجسمات في البيئة الافتراضية</x:v>
      </x:c>
      <x:c r="E130" s="13" t="str">
        <x:v>P0482</x:v>
      </x:c>
      <x:c r="F130" s="13" t="str">
        <x:v>P0485</x:v>
      </x:c>
      <x:c r="G130" s="27" t="n">
        <x:v>3</x:v>
      </x:c>
      <x:c r="H130" s="13" t="str"/>
      <x:c r="I130" s="13" t="str">
        <x:v>appendices/appendix-i/index.html</x:v>
      </x:c>
      <x:c r="J130" s="13" t="str">
        <x:v>appendix-i-section-18</x:v>
      </x:c>
      <x:c r="K130" s="13" t="str">
        <x:v>appendices/appendix-i/index.html#appendix-i-section-18</x:v>
      </x:c>
      <x:c r="L130" s="13" t="str">
        <x:v>موجود في المصدر</x:v>
      </x:c>
      <x:c r="M130" s="14" t="str">
        <x:v>تحويل مع حفظ الترقيم</x:v>
      </x:c>
    </x:row>
    <x:row r="131" ht="15" hidden="0" customHeight="1">
      <x:c r="A131" s="22" t="str">
        <x:v>MAP-126</x:v>
      </x:c>
      <x:c r="B131" s="16" t="str">
        <x:v>صفحة</x:v>
      </x:c>
      <x:c r="C131" s="16" t="str">
        <x:v>الرئيسة وتعريف البحث</x:v>
      </x:c>
      <x:c r="D131" s="16" t="str"/>
      <x:c r="E131" s="16" t="str"/>
      <x:c r="F131" s="16" t="str"/>
      <x:c r="G131" s="28"/>
      <x:c r="H131" s="16" t="str"/>
      <x:c r="I131" s="16" t="str">
        <x:v>index.html</x:v>
      </x:c>
      <x:c r="J131" s="16" t="str">
        <x:v>top</x:v>
      </x:c>
      <x:c r="K131" s="16" t="str">
        <x:v>index.html</x:v>
      </x:c>
      <x:c r="L131" s="16" t="str">
        <x:v>مقترح يحتاج إعدادًا</x:v>
      </x:c>
      <x:c r="M131" s="17" t="str">
        <x:v>إنشاء من مواد موثقة؛ لا يعد نصًا موجودًا في البحث</x:v>
      </x:c>
    </x:row>
    <x:row r="132" ht="15" hidden="0" customHeight="1">
      <x:c r="A132" s="21" t="str">
        <x:v>MAP-127</x:v>
      </x:c>
      <x:c r="B132" s="13" t="str">
        <x:v>صفحة</x:v>
      </x:c>
      <x:c r="C132" s="13" t="str">
        <x:v>بيانات البحث والمؤلف</x:v>
      </x:c>
      <x:c r="D132" s="13" t="str"/>
      <x:c r="E132" s="13" t="str"/>
      <x:c r="F132" s="13" t="str"/>
      <x:c r="G132" s="27"/>
      <x:c r="H132" s="13" t="str"/>
      <x:c r="I132" s="13" t="str">
        <x:v>about/index.html</x:v>
      </x:c>
      <x:c r="J132" s="13" t="str">
        <x:v>research-metadata</x:v>
      </x:c>
      <x:c r="K132" s="13" t="str">
        <x:v>about/index.html#research-metadata</x:v>
      </x:c>
      <x:c r="L132" s="13" t="str">
        <x:v>مقترح يحتاج إعدادًا</x:v>
      </x:c>
      <x:c r="M132" s="14" t="str">
        <x:v>إنشاء من مواد موثقة؛ لا يعد نصًا موجودًا في البحث</x:v>
      </x:c>
    </x:row>
    <x:row r="133" ht="15" hidden="0" customHeight="1">
      <x:c r="A133" s="22" t="str">
        <x:v>MAP-128</x:v>
      </x:c>
      <x:c r="B133" s="16" t="str">
        <x:v>صفحة</x:v>
      </x:c>
      <x:c r="C133" s="16" t="str">
        <x:v>التطوير بعد السمينار</x:v>
      </x:c>
      <x:c r="D133" s="16" t="str"/>
      <x:c r="E133" s="16" t="str"/>
      <x:c r="F133" s="16" t="str"/>
      <x:c r="G133" s="28"/>
      <x:c r="H133" s="16" t="str"/>
      <x:c r="I133" s="16" t="str">
        <x:v>development/index.html</x:v>
      </x:c>
      <x:c r="J133" s="16" t="str">
        <x:v>top</x:v>
      </x:c>
      <x:c r="K133" s="16" t="str">
        <x:v>development/index.html</x:v>
      </x:c>
      <x:c r="L133" s="16" t="str">
        <x:v>مقترح يحتاج إعدادًا</x:v>
      </x:c>
      <x:c r="M133" s="17" t="str">
        <x:v>إنشاء من مواد موثقة؛ لا يعد نصًا موجودًا في البحث</x:v>
      </x:c>
    </x:row>
    <x:row r="134" ht="15" hidden="0" customHeight="1">
      <x:c r="A134" s="21" t="str">
        <x:v>MAP-129</x:v>
      </x:c>
      <x:c r="B134" s="13" t="str">
        <x:v>صفحة</x:v>
      </x:c>
      <x:c r="C134" s="13" t="str">
        <x:v>الإصدارات وسجل التغييرات</x:v>
      </x:c>
      <x:c r="D134" s="13" t="str"/>
      <x:c r="E134" s="13" t="str"/>
      <x:c r="F134" s="13" t="str"/>
      <x:c r="G134" s="27"/>
      <x:c r="H134" s="13" t="str"/>
      <x:c r="I134" s="13" t="str">
        <x:v>versions/index.html</x:v>
      </x:c>
      <x:c r="J134" s="13" t="str">
        <x:v>top</x:v>
      </x:c>
      <x:c r="K134" s="13" t="str">
        <x:v>versions/index.html</x:v>
      </x:c>
      <x:c r="L134" s="13" t="str">
        <x:v>مقترح يحتاج إعدادًا</x:v>
      </x:c>
      <x:c r="M134" s="14" t="str">
        <x:v>إنشاء من مواد موثقة؛ لا يعد نصًا موجودًا في البحث</x:v>
      </x:c>
    </x:row>
    <x:row r="135" ht="15" hidden="0" customHeight="1">
      <x:c r="A135" s="22" t="str">
        <x:v>MAP-130</x:v>
      </x:c>
      <x:c r="B135" s="16" t="str">
        <x:v>صفحة</x:v>
      </x:c>
      <x:c r="C135" s="16" t="str">
        <x:v>التنزيلات</x:v>
      </x:c>
      <x:c r="D135" s="16" t="str"/>
      <x:c r="E135" s="16" t="str"/>
      <x:c r="F135" s="16" t="str"/>
      <x:c r="G135" s="28"/>
      <x:c r="H135" s="16" t="str"/>
      <x:c r="I135" s="16" t="str">
        <x:v>downloads/index.html</x:v>
      </x:c>
      <x:c r="J135" s="16" t="str">
        <x:v>top</x:v>
      </x:c>
      <x:c r="K135" s="16" t="str">
        <x:v>downloads/index.html</x:v>
      </x:c>
      <x:c r="L135" s="16" t="str">
        <x:v>مقترح يحتاج إعدادًا</x:v>
      </x:c>
      <x:c r="M135" s="17" t="str">
        <x:v>إنشاء من مواد موثقة؛ لا يعد نصًا موجودًا في البحث</x:v>
      </x:c>
    </x:row>
    <x:row r="136" ht="15" hidden="0" customHeight="1">
      <x:c r="A136" s="21" t="str">
        <x:v>MAP-131</x:v>
      </x:c>
      <x:c r="B136" s="13" t="str">
        <x:v>صفحة</x:v>
      </x:c>
      <x:c r="C136" s="13" t="str">
        <x:v>كيفية الاستشهاد</x:v>
      </x:c>
      <x:c r="D136" s="13" t="str"/>
      <x:c r="E136" s="13" t="str"/>
      <x:c r="F136" s="13" t="str"/>
      <x:c r="G136" s="27"/>
      <x:c r="H136" s="13" t="str"/>
      <x:c r="I136" s="13" t="str">
        <x:v>citation/index.html</x:v>
      </x:c>
      <x:c r="J136" s="13" t="str">
        <x:v>top</x:v>
      </x:c>
      <x:c r="K136" s="13" t="str">
        <x:v>citation/index.html</x:v>
      </x:c>
      <x:c r="L136" s="13" t="str">
        <x:v>مقترح يحتاج إعدادًا</x:v>
      </x:c>
      <x:c r="M136" s="14" t="str">
        <x:v>إنشاء من مواد موثقة؛ لا يعد نصًا موجودًا في البحث</x:v>
      </x:c>
    </x:row>
    <x:row r="137" ht="15" hidden="0" customHeight="1">
      <x:c r="A137" s="22" t="str">
        <x:v>MAP-132</x:v>
      </x:c>
      <x:c r="B137" s="16" t="str">
        <x:v>ملحق مقترح</x:v>
      </x:c>
      <x:c r="C137" s="16" t="str">
        <x:v>الملحق (ي): توثيق التطوير بعد السمينار</x:v>
      </x:c>
      <x:c r="D137" s="16" t="str"/>
      <x:c r="E137" s="16" t="str"/>
      <x:c r="F137" s="16" t="str"/>
      <x:c r="G137" s="28"/>
      <x:c r="H137" s="16" t="str"/>
      <x:c r="I137" s="16" t="str">
        <x:v>appendices/appendix-j/index.html</x:v>
      </x:c>
      <x:c r="J137" s="16" t="str">
        <x:v>top</x:v>
      </x:c>
      <x:c r="K137" s="16" t="str">
        <x:v>appendices/appendix-j/index.html</x:v>
      </x:c>
      <x:c r="L137" s="16" t="str">
        <x:v>مقترح يحتاج إعدادًا</x:v>
      </x:c>
      <x:c r="M137" s="17" t="str">
        <x:v>إنشاء من مواد موثقة؛ لا يعد نصًا موجودًا في البحث</x:v>
      </x:c>
    </x:row>
    <x:row r="138" ht="15" hidden="0" customHeight="1">
      <x:c r="A138" s="21" t="str">
        <x:v>MAP-133</x:v>
      </x:c>
      <x:c r="B138" s="13" t="str">
        <x:v>قسم مقترح</x:v>
      </x:c>
      <x:c r="C138" s="13" t="str">
        <x:v>المرحلة المدمجة للمجسّمات</x:v>
      </x:c>
      <x:c r="D138" s="13" t="str"/>
      <x:c r="E138" s="13" t="str"/>
      <x:c r="F138" s="13" t="str"/>
      <x:c r="G138" s="27"/>
      <x:c r="H138" s="13" t="str"/>
      <x:c r="I138" s="13" t="str">
        <x:v>chapters/chapter-03/index.html</x:v>
      </x:c>
      <x:c r="J138" s="13" t="str">
        <x:v>merged-foundations</x:v>
      </x:c>
      <x:c r="K138" s="13" t="str">
        <x:v>chapters/chapter-03/index.html#merged-foundations</x:v>
      </x:c>
      <x:c r="L138" s="13" t="str">
        <x:v>مقترح يحتاج إعدادًا</x:v>
      </x:c>
      <x:c r="M138" s="14" t="str">
        <x:v>إنشاء من مواد موثقة؛ لا يعد نصًا موجودًا في البحث</x:v>
      </x:c>
    </x:row>
    <x:row r="139" ht="15" hidden="0" customHeight="1">
      <x:c r="A139" s="22" t="str">
        <x:v>MAP-134</x:v>
      </x:c>
      <x:c r="B139" s="16" t="str">
        <x:v>قسم مقترح</x:v>
      </x:c>
      <x:c r="C139" s="16" t="str">
        <x:v>مختبر المقاطع المستوية ومركز التعلم</x:v>
      </x:c>
      <x:c r="D139" s="16" t="str"/>
      <x:c r="E139" s="16" t="str"/>
      <x:c r="F139" s="16" t="str"/>
      <x:c r="G139" s="28"/>
      <x:c r="H139" s="16" t="str"/>
      <x:c r="I139" s="16" t="str">
        <x:v>chapters/chapter-03/index.html</x:v>
      </x:c>
      <x:c r="J139" s="16" t="str">
        <x:v>cross-sections</x:v>
      </x:c>
      <x:c r="K139" s="16" t="str">
        <x:v>chapters/chapter-03/index.html#cross-sections</x:v>
      </x:c>
      <x:c r="L139" s="16" t="str">
        <x:v>مقترح يحتاج إعدادًا</x:v>
      </x:c>
      <x:c r="M139" s="17" t="str">
        <x:v>إنشاء من مواد موثقة؛ لا يعد نصًا موجودًا في البحث</x:v>
      </x:c>
    </x:row>
    <x:row r="140" ht="15" hidden="0" customHeight="1">
      <x:c r="A140" s="21" t="str">
        <x:v>MAP-135</x:v>
      </x:c>
      <x:c r="B140" s="13" t="str">
        <x:v>قسم مقترح</x:v>
      </x:c>
      <x:c r="C140" s="13" t="str">
        <x:v>المقارنة قبل الدمج وبعده</x:v>
      </x:c>
      <x:c r="D140" s="13" t="str"/>
      <x:c r="E140" s="13" t="str"/>
      <x:c r="F140" s="13" t="str"/>
      <x:c r="G140" s="27"/>
      <x:c r="H140" s="13" t="str"/>
      <x:c r="I140" s="13" t="str">
        <x:v>development/index.html</x:v>
      </x:c>
      <x:c r="J140" s="13" t="str">
        <x:v>before-after</x:v>
      </x:c>
      <x:c r="K140" s="13" t="str">
        <x:v>development/index.html#before-after</x:v>
      </x:c>
      <x:c r="L140" s="13" t="str">
        <x:v>مقترح يحتاج إعدادًا</x:v>
      </x:c>
      <x:c r="M140" s="14" t="str">
        <x:v>إنشاء من مواد موثقة؛ لا يعد نصًا موجودًا في البحث</x:v>
      </x:c>
    </x:row>
    <x:row r="141" ht="15" hidden="0" customHeight="1">
      <x:c r="A141" s="23" t="str">
        <x:v>MAP-136</x:v>
      </x:c>
      <x:c r="B141" s="19" t="str">
        <x:v>قسم مقترح</x:v>
      </x:c>
      <x:c r="C141" s="19" t="str">
        <x:v>اختبارات الوظائف والأدلة</x:v>
      </x:c>
      <x:c r="D141" s="19" t="str"/>
      <x:c r="E141" s="19" t="str"/>
      <x:c r="F141" s="19" t="str"/>
      <x:c r="G141" s="29"/>
      <x:c r="H141" s="19" t="str"/>
      <x:c r="I141" s="19" t="str">
        <x:v>evidence/index.html</x:v>
      </x:c>
      <x:c r="J141" s="19" t="str">
        <x:v>functional-tests</x:v>
      </x:c>
      <x:c r="K141" s="19" t="str">
        <x:v>evidence/index.html#functional-tests</x:v>
      </x:c>
      <x:c r="L141" s="19" t="str">
        <x:v>مقترح يحتاج إعدادًا</x:v>
      </x:c>
      <x:c r="M141" s="20" t="str">
        <x:v>إنشاء من مواد موثقة؛ لا يعد نصًا موجودًا في البحث</x:v>
      </x:c>
    </x:row>
  </x:sheetData>
  <x:mergeCells>
    <x:mergeCell ref="A1:E1"/>
    <x:mergeCell ref="A2:E2"/>
    <x:mergeCell ref="A3:E3"/>
  </x:mergeCells>
  <x:pageMargins left="0.7" right="0.7" top="0.75" bottom="0.75" header="0.3" footer="0.3"/>
  <x:tableParts count="1">
    <x:tablePart xmlns:r="http://schemas.openxmlformats.org/officeDocument/2006/relationships" r:id="R7b2fd4f1222d450f"/>
  </x:tableParts>
</x:worksheet>
</file>

<file path=xl/worksheets/sheet3.xml><?xml version="1.0" encoding="utf-8"?>
<x:worksheet xmlns:x="http://schemas.openxmlformats.org/spreadsheetml/2006/main">
  <x:sheetPr>
    <x:tabColor rgb="FF23364D"/>
  </x:sheetPr>
  <x:sheetViews>
    <x:sheetView showGridLines="0" workbookViewId="0">
      <x:pane xSplit="1" ySplit="5" topLeftCell="B6" activePane="bottomRight" state="frozen"/>
    </x:sheetView>
  </x:sheetViews>
  <x:sheetFormatPr defaultRowHeight="15"/>
  <x:cols>
    <x:col min="1" max="1" width="10" hidden="0" customWidth="1"/>
    <x:col min="2" max="2" width="24.440000534057617" hidden="0" customWidth="1"/>
    <x:col min="3" max="3" width="42.220001220703125" hidden="0" customWidth="1"/>
    <x:col min="4" max="4" width="9.4399995803833" hidden="0" customWidth="1"/>
    <x:col min="5" max="5" width="9.4399995803833" hidden="0" customWidth="1"/>
    <x:col min="6" max="6" width="42.220001220703125" hidden="0" customWidth="1"/>
    <x:col min="7" max="7" width="38.88999938964844" hidden="0" customWidth="1"/>
    <x:col min="8" max="8" width="47.779998779296875" hidden="0" customWidth="1"/>
    <x:col min="9" max="9" width="21.670000076293945" hidden="0" customWidth="1"/>
    <x:col min="10" max="10" width="44.439998626708984" hidden="0" customWidth="1"/>
    <x:col min="11" max="11" width="48.88999938964844" hidden="0" customWidth="1"/>
  </x:cols>
  <x:sheetData>
    <x:row r="1" ht="34" customHeight="1">
      <x:c r="A1" s="5" t="str">
        <x:v>الجداول — مختبر الهندسة بالواقع الافتراضي</x:v>
      </x:c>
      <x:c r="B1" s="5"/>
      <x:c r="C1" s="5"/>
      <x:c r="D1" s="5"/>
      <x:c r="E1" s="5"/>
      <x:c r="F1" s="4"/>
      <x:c r="G1" s="4"/>
      <x:c r="H1" s="4"/>
      <x:c r="I1" s="4"/>
      <x:c r="J1" s="4"/>
      <x:c r="K1" s="4"/>
    </x:row>
    <x:row r="2" ht="35" customHeight="1">
      <x:c r="A2" s="4" t="str">
        <x:v>المسارات مقترحة داخل الموقع؛ السجل يحتفظ بالأصل والتكرارات وملاحظات الاستكمال.</x:v>
      </x:c>
      <x:c r="B2" s="4"/>
      <x:c r="C2" s="4"/>
      <x:c r="D2" s="4"/>
      <x:c r="E2" s="4"/>
      <x:c r="F2" s="4"/>
      <x:c r="G2" s="4"/>
      <x:c r="H2" s="4"/>
      <x:c r="I2" s="4"/>
      <x:c r="J2" s="4"/>
      <x:c r="K2" s="4"/>
    </x:row>
    <x:row r="3" ht="30" customHeight="1">
      <x:c r="A3" s="4" t="str">
        <x:v>تاريخ الجرد: 2026-10-04. تُترك البيانات غير المعروفة صريحة دون استنتاج الإصدار من اسم الملف.</x:v>
      </x:c>
      <x:c r="B3" s="4"/>
      <x:c r="C3" s="4"/>
      <x:c r="D3" s="4"/>
      <x:c r="E3" s="4"/>
      <x:c r="F3" s="4"/>
      <x:c r="G3" s="4"/>
      <x:c r="H3" s="4"/>
      <x:c r="I3" s="4"/>
      <x:c r="J3" s="4"/>
      <x:c r="K3" s="4"/>
    </x:row>
    <x:row r="4">
      <x:c r="A4" s="4"/>
      <x:c r="B4" s="4"/>
      <x:c r="C4" s="4"/>
      <x:c r="D4" s="4"/>
      <x:c r="E4" s="4"/>
      <x:c r="F4" s="4"/>
      <x:c r="G4" s="4"/>
      <x:c r="H4" s="4"/>
      <x:c r="I4" s="4"/>
      <x:c r="J4" s="4"/>
      <x:c r="K4" s="4"/>
    </x:row>
    <x:row r="5" ht="38" customHeight="1">
      <x:c r="A5" s="9" t="str">
        <x:v>المعرف</x:v>
      </x:c>
      <x:c r="B5" s="10" t="str">
        <x:v>الدور</x:v>
      </x:c>
      <x:c r="C5" s="10" t="str">
        <x:v>العنوان أو التعليق</x:v>
      </x:c>
      <x:c r="D5" s="10" t="str">
        <x:v>الصفوف</x:v>
      </x:c>
      <x:c r="E5" s="10" t="str">
        <x:v>الأعمدة</x:v>
      </x:c>
      <x:c r="F5" s="10" t="str">
        <x:v>موضعه في الفصل</x:v>
      </x:c>
      <x:c r="G5" s="10" t="str">
        <x:v>رابط الجدول المقترح</x:v>
      </x:c>
      <x:c r="H5" s="10" t="str">
        <x:v>عناوين الأعمدة الأصلية</x:v>
      </x:c>
      <x:c r="I5" s="10" t="str">
        <x:v>الحالة</x:v>
      </x:c>
      <x:c r="J5" s="10" t="str">
        <x:v>إجراء التحويل</x:v>
      </x:c>
      <x:c r="K5" s="11" t="str">
        <x:v>السياق السابق</x:v>
      </x:c>
    </x:row>
    <x:row r="6" ht="84" hidden="0" customHeight="1">
      <x:c r="A6" s="21" t="str">
        <x:v>T001</x:v>
      </x:c>
      <x:c r="B6" s="13" t="str">
        <x:v>بيانات الغلاف</x:v>
      </x:c>
      <x:c r="C6" s="13" t="str">
        <x:v>بيانات الغلاف</x:v>
      </x:c>
      <x:c r="D6" s="27" t="n">
        <x:v>4</x:v>
      </x:c>
      <x:c r="E6" s="27" t="n">
        <x:v>2</x:v>
      </x:c>
      <x:c r="F6" s="13" t="str">
        <x:v>about/index.html#research-metadata</x:v>
      </x:c>
      <x:c r="G6" s="13" t="str">
        <x:v>about/index.html#table-t001</x:v>
      </x:c>
      <x:c r="H6" s="13" t="str">
        <x:v>إعداد الباحث / زهدي زاهدة</x:v>
      </x:c>
      <x:c r="I6" s="13" t="str">
        <x:v>موجود</x:v>
      </x:c>
      <x:c r="J6" s="13" t="str">
        <x:v>تحويل إلى جدول HTML قابل للقراءة</x:v>
      </x:c>
      <x:c r="K6" s="14" t="str">
        <x:v>تصميم وتطوير بيئة واقع افتراضي غامر وتفاعلي
لتعليم الهندسة الفراغية والتحويلات الهندسية
لدى طلبة المرحلة الثانوية / بحث تطويري في تصميم منتج تعليمي والتحقق من مواصفاته / Design and Development of an Immersive Interactive Virtual Reality Environment
for Teaching Spatial Geometry and Geometric Transformations to Secondary Students</x:v>
      </x:c>
    </x:row>
    <x:row r="7" ht="60" hidden="0" customHeight="1">
      <x:c r="A7" s="22" t="str">
        <x:v>T002</x:v>
      </x:c>
      <x:c r="B7" s="16" t="str">
        <x:v>إطار منهجي</x:v>
      </x:c>
      <x:c r="C7" s="16" t="str">
        <x:v>إطار منهجي</x:v>
      </x:c>
      <x:c r="D7" s="28" t="n">
        <x:v>1</x:v>
      </x:c>
      <x:c r="E7" s="28" t="n">
        <x:v>1</x:v>
      </x:c>
      <x:c r="F7" s="16" t="str">
        <x:v>about/index.html#methodological-statement</x:v>
      </x:c>
      <x:c r="G7" s="16" t="str">
        <x:v>about/index.html#table-t002</x:v>
      </x:c>
      <x:c r="H7" s="16" t="str">
        <x:v>طبيعة هذا البحث: هذا البحث دراسة تصميم وتطوير لمنتج تعليمي. لم تُنفّذ فيه تجربة على عينة من الطلبة، ولم تُستخدم استبانة أو اختبارات تحصيلية، ولا يتضمن نتائج إحصائية عن فاعلية التطبيق. تنصب النتائج على تحليل المشكلة، واستخلاص المواصفات التربوية والتقنية، وتطوير النموذج، والتحقق الوظيفي من أجزائه المنجزة.</x:v>
      </x:c>
      <x:c r="I7" s="16" t="str">
        <x:v>موجود</x:v>
      </x:c>
      <x:c r="J7" s="16" t="str">
        <x:v>تحويل إلى فقرة بارزة بدل جدول تنسيق</x:v>
      </x:c>
      <x:c r="K7" s="17" t="str">
        <x:v>الإصدار الأكاديمي الشامل المحدّث - 29 تموز/يوليو 2026 / إقرار منهجي</x:v>
      </x:c>
    </x:row>
    <x:row r="8" ht="15" hidden="0" customHeight="1">
      <x:c r="A8" s="21" t="str">
        <x:v>T003</x:v>
      </x:c>
      <x:c r="B8" s="13" t="str">
        <x:v>فهرس محتويات مطبوع</x:v>
      </x:c>
      <x:c r="C8" s="13" t="str">
        <x:v>جدول المحتويات</x:v>
      </x:c>
      <x:c r="D8" s="27" t="n">
        <x:v>10</x:v>
      </x:c>
      <x:c r="E8" s="27" t="n">
        <x:v>2</x:v>
      </x:c>
      <x:c r="F8" s="13" t="str">
        <x:v>index.html#contents</x:v>
      </x:c>
      <x:c r="G8" s="13" t="str">
        <x:v>index.html#table-t003</x:v>
      </x:c>
      <x:c r="H8" s="13" t="str">
        <x:v>القسم / الصفحة</x:v>
      </x:c>
      <x:c r="I8" s="13" t="str">
        <x:v>موجود</x:v>
      </x:c>
      <x:c r="J8" s="13" t="str">
        <x:v>استبدال أرقام الصفحات بروابط الفصول</x:v>
      </x:c>
      <x:c r="K8" s="14" t="str">
        <x:v>جدول المحتويات / المحتويات الرئيسة وأرقام صفحات البداية</x:v>
      </x:c>
    </x:row>
    <x:row r="9" ht="144" hidden="0" customHeight="1">
      <x:c r="A9" s="22" t="str">
        <x:v>T004</x:v>
      </x:c>
      <x:c r="B9" s="16" t="str">
        <x:v>إطار مشكلة البحث</x:v>
      </x:c>
      <x:c r="C9" s="16" t="str">
        <x:v>إطار مشكلة البحث</x:v>
      </x:c>
      <x:c r="D9" s="28" t="n">
        <x:v>1</x:v>
      </x:c>
      <x:c r="E9" s="28" t="n">
        <x:v>1</x:v>
      </x:c>
      <x:c r="F9" s="16" t="str">
        <x:v>chapters/chapter-01/index.html#section-1-2</x:v>
      </x:c>
      <x:c r="G9" s="16" t="str">
        <x:v>chapters/chapter-01/index.html#table-t004</x:v>
      </x:c>
      <x:c r="H9" s="16" t="str">
        <x:v>الصياغة المركزية للمشكلة: الحاجة إلى بيئة واقع افتراضي غامر وتفاعلي، مجانية في نسختها التعليمية الأساسية، وموجهة إلى المرحلة الثانوية، تعالج محدودية التمثيل ثنائي الأبعاد للمجسمات والتحويلات، وتبدأ بتهيئة الطالب لاستخدام النظارة، ثم تتيح له استكشاف الخصائص الهندسية من خلال التفاعل المباشر ضمن تسلسل تربوي واضح.</x:v>
      </x:c>
      <x:c r="I9" s="16" t="str">
        <x:v>موجود</x:v>
      </x:c>
      <x:c r="J9" s="16" t="str">
        <x:v>تحويل إلى فقرة بارزة بدل جدول تنسيق</x:v>
      </x:c>
      <x:c r="K9" s="17" t="str">
        <x:v>1.2 مشكلة البحث / تنبع المشكلة الأساسية من عدم التطابق بين طبيعة المحتوى وطريقة تمثيله: فالهندسة الفراغية والمجسمات والتحويلات موضوعات ثلاثية الأبعاد وديناميكية، بينما تعرض غالبًا برسوم مسطحة وثابتة. وقد لا يكون التمثيل ثنائي الأبعاد وحده كافيًا لبناء تصور فراغي متكامل لدى جميع الطلبة، ولا سيما في تمييز الأوجه والحواف والرؤوس، وفهم العمق، وتفسير الرسوم المنظورية، وتتبع أثر النقل والدوران والتكبير والتصغير. / توجد تطبيقات وبحوث تستخدم الواقع الافتراضي في الهندسة، إلا أن المتاح منها يتوزع بين أدوات إنشاء هندسي مفتوح قد تتطلب خبرة كبيرة، أو تطبيقات مدفوعة، أو منصات عامة لا تقدم تسلسلًا مدرسيًا جاهزًا، أو نماذج بحثية لم تُنشر للاستخدام العام، أو تجارب موجهة إلى الجامعة. كما تكشف مراجعة البحوث العربية أن الاستخدام الفعلي للواقعين الافتراضي والمعزز في تعليم العلوم والرياضيات ظل في الغالب تجارب صغيرة النطاق (Abutayeh et al., 2022).</x:v>
      </x:c>
    </x:row>
    <x:row r="10" ht="15" hidden="0" customHeight="1">
      <x:c r="A10" s="21" t="str">
        <x:v>T005</x:v>
      </x:c>
      <x:c r="B10" s="13" t="str">
        <x:v>جدول علمي مرقم (1)</x:v>
      </x:c>
      <x:c r="C10" s="13" t="str">
        <x:v>جدول (1): من المشكلة التعليمية إلى المتطلب التصميمي</x:v>
      </x:c>
      <x:c r="D10" s="27" t="n">
        <x:v>9</x:v>
      </x:c>
      <x:c r="E10" s="27" t="n">
        <x:v>2</x:v>
      </x:c>
      <x:c r="F10" s="13" t="str">
        <x:v>chapters/chapter-01/index.html#section-1-2</x:v>
      </x:c>
      <x:c r="G10" s="13" t="str">
        <x:v>chapters/chapter-01/index.html#table-t005</x:v>
      </x:c>
      <x:c r="H10" s="13" t="str">
        <x:v>المشكلة الصفية أو الإدراكية / الاستجابة التصميمية في التطبيق</x:v>
      </x:c>
      <x:c r="I10" s="13" t="str">
        <x:v>موجود</x:v>
      </x:c>
      <x:c r="J10" s="13" t="str">
        <x:v>تحويل إلى جدول HTML قابل للقراءة</x:v>
      </x:c>
      <x:c r="K10" s="14" t="str">
        <x:v>جدول (1): من المشكلة التعليمية إلى المتطلب التصميمي</x:v>
      </x:c>
    </x:row>
    <x:row r="11" ht="36" hidden="0" customHeight="1">
      <x:c r="A11" s="22" t="str">
        <x:v>T006</x:v>
      </x:c>
      <x:c r="B11" s="16" t="str">
        <x:v>إطار سؤال البحث</x:v>
      </x:c>
      <x:c r="C11" s="16" t="str">
        <x:v>إطار سؤال البحث</x:v>
      </x:c>
      <x:c r="D11" s="28" t="n">
        <x:v>1</x:v>
      </x:c>
      <x:c r="E11" s="28" t="n">
        <x:v>1</x:v>
      </x:c>
      <x:c r="F11" s="16" t="str">
        <x:v>chapters/chapter-01/index.html#section-1-3</x:v>
      </x:c>
      <x:c r="G11" s="16" t="str">
        <x:v>chapters/chapter-01/index.html#table-t006</x:v>
      </x:c>
      <x:c r="H11" s="16" t="str">
        <x:v>السؤال الرئيس: كيف يمكن تصميم وتطوير بيئة واقع افتراضي غامر وتفاعلي، وفق مواصفات تربوية وتقنية حديثة، لتعليم الهندسة الفراغية والتحويلات الهندسية لدى طلبة المرحلة الثانوية؟</x:v>
      </x:c>
      <x:c r="I11" s="16" t="str">
        <x:v>موجود</x:v>
      </x:c>
      <x:c r="J11" s="16" t="str">
        <x:v>تحويل إلى فقرة بارزة بدل جدول تنسيق</x:v>
      </x:c>
      <x:c r="K11" s="17" t="str">
        <x:v>1.3 سؤال البحث الرئيس</x:v>
      </x:c>
    </x:row>
    <x:row r="12" ht="48" hidden="0" customHeight="1">
      <x:c r="A12" s="21" t="str">
        <x:v>T007</x:v>
      </x:c>
      <x:c r="B12" s="13" t="str">
        <x:v>حدود البحث</x:v>
      </x:c>
      <x:c r="C12" s="13" t="str">
        <x:v>حدود البحث</x:v>
      </x:c>
      <x:c r="D12" s="27" t="n">
        <x:v>7</x:v>
      </x:c>
      <x:c r="E12" s="27" t="n">
        <x:v>2</x:v>
      </x:c>
      <x:c r="F12" s="13" t="str">
        <x:v>chapters/chapter-01/index.html#section-1-7</x:v>
      </x:c>
      <x:c r="G12" s="13" t="str">
        <x:v>chapters/chapter-01/index.html#table-t007</x:v>
      </x:c>
      <x:c r="H12" s="13" t="str">
        <x:v>البعد / الحدود</x:v>
      </x:c>
      <x:c r="I12" s="13" t="str">
        <x:v>موجود</x:v>
      </x:c>
      <x:c r="J12" s="13" t="str">
        <x:v>تحويل إلى جدول HTML قابل للقراءة</x:v>
      </x:c>
      <x:c r="K12" s="14" t="str">
        <x:v>يضيف البحث مثالًا على دراسات التصميم والتطوير في سياق عربي، ويبين أن البحث التربوي لا يقتصر على الاستبانة والعينة؛ إذ يمكن أن تكون مساهمته منتجًا تعليميًا موثق المتطلبات والقرارات والاختبارات، على أن تُفصل عنه دراسة الفاعلية البشرية اللاحقة. / 1.7 حدود البحث / حدود البحث</x:v>
      </x:c>
    </x:row>
    <x:row r="13" ht="84" hidden="0" customHeight="1">
      <x:c r="A13" s="22" t="str">
        <x:v>T008</x:v>
      </x:c>
      <x:c r="B13" s="16" t="str">
        <x:v>جدول علمي مرقم (2)</x:v>
      </x:c>
      <x:c r="C13" s="16" t="str">
        <x:v>جدول (2): مقارنة الدراسات السابقة الأقرب إلى المشروع</x:v>
      </x:c>
      <x:c r="D13" s="28" t="n">
        <x:v>6</x:v>
      </x:c>
      <x:c r="E13" s="28" t="n">
        <x:v>4</x:v>
      </x:c>
      <x:c r="F13" s="16" t="str">
        <x:v>chapters/chapter-02/index.html#section-2-6-6</x:v>
      </x:c>
      <x:c r="G13" s="16" t="str">
        <x:v>chapters/chapter-02/index.html#table-t008</x:v>
      </x:c>
      <x:c r="H13" s="16" t="str">
        <x:v>الدراسة / السياق / المساهمة / الصلة والفارق</x:v>
      </x:c>
      <x:c r="I13" s="16" t="str">
        <x:v>موجود</x:v>
      </x:c>
      <x:c r="J13" s="16" t="str">
        <x:v>تحويل إلى جدول HTML قابل للقراءة</x:v>
      </x:c>
      <x:c r="K13" s="17" t="str">
        <x:v>2.6.6 المراجعات العامة / خلصت مراجعة Radianti وزملائه (2020) إلى ازدياد تطبيقات الواقع الافتراضي الغامر في التعليم العالي، مع تفاوت واضح في التصميم النظري وطرائق التقويم. كما وجد Hamilton وزملاؤه (2021) أن معظم الدراسات راجعت مزايا للتعلم الغامر، لكن كثيرًا منها كان قصير المدة ولم يختبر الاحتفاظ طويل الأجل. وتدعم هذه النتائج موقفًا متوازنًا: الواقع الافتراضي فرصة تعليمية، لكنه يحتاج إلى تصميم دقيق وتقويم لا يكتفي بالإعجاب أو الحضور. / جدول (2): مقارنة الدراسات السابقة الأقرب إلى المشروع</x:v>
      </x:c>
    </x:row>
    <x:row r="14" ht="60" hidden="0" customHeight="1">
      <x:c r="A14" s="21" t="str">
        <x:v>T009</x:v>
      </x:c>
      <x:c r="B14" s="13" t="str">
        <x:v>جدول علمي مرقم (3)</x:v>
      </x:c>
      <x:c r="C14" s="13" t="str">
        <x:v>جدول (3): مقارنة التطبيقات والمنصات المتاحة حتى 28 تموز/يوليو 2026</x:v>
      </x:c>
      <x:c r="D14" s="27" t="n">
        <x:v>6</x:v>
      </x:c>
      <x:c r="E14" s="27" t="n">
        <x:v>4</x:v>
      </x:c>
      <x:c r="F14" s="13" t="str">
        <x:v>chapters/chapter-02/index.html#section-2-7</x:v>
      </x:c>
      <x:c r="G14" s="13" t="str">
        <x:v>chapters/chapter-02/index.html#table-t009</x:v>
      </x:c>
      <x:c r="H14" s="13" t="str">
        <x:v>التطبيق / الإتاحة / التركيز / المقارنة مع المشروع</x:v>
      </x:c>
      <x:c r="I14" s="13" t="str">
        <x:v>موجود</x:v>
      </x:c>
      <x:c r="J14" s="13" t="str">
        <x:v>تحويل إلى جدول HTML قابل للقراءة</x:v>
      </x:c>
      <x:c r="K14" s="14" t="str">
        <x:v>2.7 التطبيقات والمنصات المتاحة / لم تُظهر المراجعة غياب تطبيقات الهندسة في الواقع الافتراضي، ولذلك لا يدعي البحث أن منتجه هو الأول. القيمة المضافة هي اجتماع التهيئة والتدرج المدرسي والمجسمات والتحويلات والإتاحة المجانية ضمن تجربة عربية قابلة للتخصيص. / جدول (3): مقارنة التطبيقات والمنصات المتاحة حتى 28 تموز/يوليو 2026</x:v>
      </x:c>
    </x:row>
    <x:row r="15" ht="84" hidden="0" customHeight="1">
      <x:c r="A15" s="22" t="str">
        <x:v>T010</x:v>
      </x:c>
      <x:c r="B15" s="16" t="str">
        <x:v>إطار قرار منهجي</x:v>
      </x:c>
      <x:c r="C15" s="16" t="str">
        <x:v>إطار قرار منهجي</x:v>
      </x:c>
      <x:c r="D15" s="28" t="n">
        <x:v>1</x:v>
      </x:c>
      <x:c r="E15" s="28" t="n">
        <x:v>1</x:v>
      </x:c>
      <x:c r="F15" s="16" t="str">
        <x:v>chapters/chapter-03/index.html#section-3-2</x:v>
      </x:c>
      <x:c r="G15" s="16" t="str">
        <x:v>chapters/chapter-03/index.html#table-t010</x:v>
      </x:c>
      <x:c r="H15" s="16" t="str">
        <x:v>القرار المنهجي: لم يكن هدف الدراسة في مرحلتها الحالية تقدير اتجاهات الطلبة أو مقارنة تحصيل مجموعتين، بل إنتاج تطبيق بمواصفات تربوية حديثة والتحقق من الوظائف التي بُنيت. لذلك لا يوجد مجتمع أو عينة أو استبانة أو فرضيات إحصائية أو متغير مستقل وتابع.</x:v>
      </x:c>
      <x:c r="I15" s="16" t="str">
        <x:v>موجود</x:v>
      </x:c>
      <x:c r="J15" s="16" t="str">
        <x:v>تحويل إلى فقرة بارزة بدل جدول تنسيق</x:v>
      </x:c>
      <x:c r="K15" s="17" t="str">
        <x:v>3.1 منهج البحث / اعتمد البحث منهج التصميم والتطوير من النوع الأول، الذي يركز على منتج محدد وعمليات بنائه وتقويمه، بدل اختبار نظرية عامة أو قياس أثر تدخل على مجتمع بشري. يتفق ذلك مع تمييز Richey وKlein (2007) بين البحث في المنتجات والنماذج وبين البحث الذي يعمم مبادئ التطوير. واستفاد العمل من بنية ADDIE: التحليل، والتصميم، والتطوير، والتنفيذ التقني، والتقويم؛ لكنه طبقها تكراريًا لا خطيًا، إذ أعادت مشكلات التشغيل تشكيل قرارات التصميم. / 3.2 لماذا لم تُستخدم عينة أو استبانة؟</x:v>
      </x:c>
    </x:row>
    <x:row r="16" ht="84" hidden="0" customHeight="1">
      <x:c r="A16" s="21" t="str">
        <x:v>T011</x:v>
      </x:c>
      <x:c r="B16" s="13" t="str">
        <x:v>جدول علمي مرقم (4)</x:v>
      </x:c>
      <x:c r="C16" s="13" t="str">
        <x:v>جدول (4): مراحل تطور المشروع والقرار التربوي/التقني الناتج</x:v>
      </x:c>
      <x:c r="D16" s="27" t="n">
        <x:v>6</x:v>
      </x:c>
      <x:c r="E16" s="27" t="n">
        <x:v>4</x:v>
      </x:c>
      <x:c r="F16" s="13" t="str">
        <x:v>chapters/chapter-03/index.html#section-3-6-5</x:v>
      </x:c>
      <x:c r="G16" s="13" t="str">
        <x:v>chapters/chapter-03/index.html#table-t011</x:v>
      </x:c>
      <x:c r="H16" s="13" t="str">
        <x:v>المرحلة / ما تحقق / القيد المكتشف / القرار الناتج</x:v>
      </x:c>
      <x:c r="I16" s="13" t="str">
        <x:v>موجود</x:v>
      </x:c>
      <x:c r="J16" s="13" t="str">
        <x:v>تحويل إلى جدول HTML قابل للقراءة</x:v>
      </x:c>
      <x:c r="K16" s="14" t="str">
        <x:v>3.6.5 تطور العتاد / كشف الحاسوب الأقدم Dell بمعالج Intel Core i7-8550U وبطاقة NVIDIA GeForce 940MX 4GB حدودًا في تشغيل بيئة التطوير والواقع الافتراضي بسلاسة. انتقل الباحث إلى Predator Neo 16 مع NVIDIA GeForce RTX 5070 Ti Laptop GPU، وضُبط نمط الرسوم لاستخدام البطاقة المنفصلة عند الحاجة. كما انتقل الاختبار من Meta Quest 2 إلى Meta Quest 3S. / جدول (4): مراحل تطور المشروع والقرار التربوي/التقني الناتج</x:v>
      </x:c>
    </x:row>
    <x:row r="17" ht="60" hidden="0" customHeight="1">
      <x:c r="A17" s="22" t="str">
        <x:v>T012</x:v>
      </x:c>
      <x:c r="B17" s="16" t="str">
        <x:v>جدول علمي مرقم (5)</x:v>
      </x:c>
      <x:c r="C17" s="16" t="str">
        <x:v>جدول (5): مكونات برمجية وتربوية موثقة في المشروع</x:v>
      </x:c>
      <x:c r="D17" s="28" t="n">
        <x:v>10</x:v>
      </x:c>
      <x:c r="E17" s="28" t="n">
        <x:v>2</x:v>
      </x:c>
      <x:c r="F17" s="16" t="str">
        <x:v>chapters/chapter-03/index.html#section-3-8</x:v>
      </x:c>
      <x:c r="G17" s="16" t="str">
        <x:v>chapters/chapter-03/index.html#table-t012</x:v>
      </x:c>
      <x:c r="H17" s="16" t="str">
        <x:v>المكون / الوظيفة</x:v>
      </x:c>
      <x:c r="I17" s="16" t="str">
        <x:v>موجود</x:v>
      </x:c>
      <x:c r="J17" s="16" t="str">
        <x:v>تحويل إلى جدول HTML قابل للقراءة</x:v>
      </x:c>
      <x:c r="K17" s="17" t="str">
        <x:v>11_Solids_Lab: اختيار المكعب والكرة والأسطوانة، وعرض المعلومات والأدلة والتسميات والتحكم، مع إرشاد صوتي عربي مرتبط بأحداث التعلم. / 12_Transforms_Lab: تصميم تربوي للانسحاب والدوران والتكبير والتصغير؛ قيد التطوير في النسخة الحالية. / جدول (5): مكونات برمجية وتربوية موثقة في المشروع</x:v>
      </x:c>
    </x:row>
    <x:row r="18" ht="108" hidden="0" customHeight="1">
      <x:c r="A18" s="21" t="str">
        <x:v>T013</x:v>
      </x:c>
      <x:c r="B18" s="13" t="str">
        <x:v>جدول علمي مرقم (6)</x:v>
      </x:c>
      <x:c r="C18" s="13" t="str">
        <x:v>جدول (6): مصفوفة التحقق الوظيفي وحالة الوظائف حتى 29/7/2026</x:v>
      </x:c>
      <x:c r="D18" s="27" t="n">
        <x:v>22</x:v>
      </x:c>
      <x:c r="E18" s="27" t="n">
        <x:v>4</x:v>
      </x:c>
      <x:c r="F18" s="13" t="str">
        <x:v>chapters/chapter-04/index.html#section-4-7</x:v>
      </x:c>
      <x:c r="G18" s="13" t="str">
        <x:v>chapters/chapter-04/index.html#table-t013</x:v>
      </x:c>
      <x:c r="H18" s="13" t="str">
        <x:v>الوظيفة / المعيار / الحالة / الدليل/الملاحظة</x:v>
      </x:c>
      <x:c r="I18" s="13" t="str">
        <x:v>موجود</x:v>
      </x:c>
      <x:c r="J18" s="13" t="str">
        <x:v>تحويل إلى جدول HTML قابل للقراءة؛ مراجعة الإصدار وحالة الإنجاز</x:v>
      </x:c>
      <x:c r="K18" s="14" t="str">
        <x:v>أدت إضافة الصوت العربي إلى تحويل جزء من التوجيه من تعليمات خارجية يعتمد تنفيذها كليًا على حضور المعلم إلى إرشاد مدمج في أحداث التطبيق. فالمقطع لا يعمل لمجرد ملء الصمت؛ بل يعلن المهمة، ويحفز الطالب، ويتابع تقدمه، ويعيد توجيهه نحو الهدف. وتمثل هذه الإضافة حاجزًا تربويًا أمام اختزال التطبيق في اللعب الحر: يسمح التصميم بالاستكشاف، لكنه ينقله تدريجيًا إلى أفعال وملاحظات مرتبطة بالمجسم وخصائصه. ولا تعني هذه النتيجة ثبوت أثر الصوت في التحصيل؛ بل تعني تحقق مكوّن تصميمي مقصود يحتاج إلى تقويم لاحق مع الطلبة. / 4.7 مصفوفة التحقق الوظيفي / جدول (6): مصفوفة التحقق الوظيفي وحالة الوظائف حتى 29/7/2026</x:v>
      </x:c>
    </x:row>
    <x:row r="19" ht="72" hidden="0" customHeight="1">
      <x:c r="A19" s="22" t="str">
        <x:v>T014</x:v>
      </x:c>
      <x:c r="B19" s="16" t="str">
        <x:v>جدول علمي مرقم (7)</x:v>
      </x:c>
      <x:c r="C19" s="16" t="str">
        <x:v>جدول (7): خلاصة الإجابة عن أسئلة البحث</x:v>
      </x:c>
      <x:c r="D19" s="28" t="n">
        <x:v>7</x:v>
      </x:c>
      <x:c r="E19" s="28" t="n">
        <x:v>2</x:v>
      </x:c>
      <x:c r="F19" s="16" t="str">
        <x:v>chapters/chapter-04/index.html#section-4-10</x:v>
      </x:c>
      <x:c r="G19" s="16" t="str">
        <x:v>chapters/chapter-04/index.html#table-t014</x:v>
      </x:c>
      <x:c r="H19" s="16" t="str">
        <x:v>السؤال / الإجابة المستخلصة</x:v>
      </x:c>
      <x:c r="I19" s="16" t="str">
        <x:v>موجود</x:v>
      </x:c>
      <x:c r="J19" s="16" t="str">
        <x:v>تحويل إلى جدول HTML قابل للقراءة</x:v>
      </x:c>
      <x:c r="K19" s="17" t="str">
        <x:v>أظهرت المقارنة أنه لا يصح وصف التطبيق بأنه أول بيئة VR للهندسة. المساهمة الأدق هي تصميم نموذج عربي مجاني النسخة الأساسية، موجه للثانوي، يجمع التهيئة والمجسمات والتحويلات في مسار واحد. كما لا يصح وصف مختبر التحويلات بالمنجز قبل اكتماله، ولا وصف الوظائف بأنها حسنت التعلم قبل دراسة بشرية. / 4.10 الإجابة عن أسئلة البحث / جدول (7): خلاصة الإجابة عن أسئلة البحث</x:v>
      </x:c>
    </x:row>
    <x:row r="20" ht="72" hidden="0" customHeight="1">
      <x:c r="A20" s="21" t="str">
        <x:v>T015</x:v>
      </x:c>
      <x:c r="B20" s="13" t="str">
        <x:v>جدول علمي مرقم (8)</x:v>
      </x:c>
      <x:c r="C20" s="13" t="str">
        <x:v>جدول (8): خارطة الطريق المقترحة</x:v>
      </x:c>
      <x:c r="D20" s="27" t="n">
        <x:v>8</x:v>
      </x:c>
      <x:c r="E20" s="27" t="n">
        <x:v>3</x:v>
      </x:c>
      <x:c r="F20" s="13" t="str">
        <x:v>chapters/chapter-05/index.html#section-5-10</x:v>
      </x:c>
      <x:c r="G20" s="13" t="str">
        <x:v>chapters/chapter-05/index.html#table-t015</x:v>
      </x:c>
      <x:c r="H20" s="13" t="str">
        <x:v>المرحلة / المخرجات / معيار الإنجاز</x:v>
      </x:c>
      <x:c r="I20" s="13" t="str">
        <x:v>موجود</x:v>
      </x:c>
      <x:c r="J20" s="13" t="str">
        <x:v>تحويل إلى جدول HTML قابل للقراءة</x:v>
      </x:c>
      <x:c r="K20" s="14" t="str">
        <x:v>بعد اكتمال المنتج، يمكن إجراء دراسة شبه تجريبية مستقلة تقارن التدريس المعتاد بتدريس مدمج يستخدم التطبيق. تحتاج هذه الدراسة إلى اختبار تحصيل خاص بالمفاهيم، واختبار تصور فراغي مناسب للعمر، وبروتوكول تدريس موحد، وموافقة أخلاقية، وعينة ذات قدرة إحصائية. ويمكن إضافة مقابلات أو ملاحظة لفهم آليات التعلم. ولا ينبغي نقل هذه العناصر إلى البحث الحالي بأثر رجعي. / 5.10 خطة التطوير والنشر / جدول (8): خارطة الطريق المقترحة</x:v>
      </x:c>
    </x:row>
    <x:row r="21" ht="24" hidden="0" customHeight="1">
      <x:c r="A21" s="22" t="str">
        <x:v>T016</x:v>
      </x:c>
      <x:c r="B21" s="16" t="str">
        <x:v>نموذج سجل تطوير</x:v>
      </x:c>
      <x:c r="C21" s="16" t="str">
        <x:v>نموذج سجل تطوير</x:v>
      </x:c>
      <x:c r="D21" s="28" t="n">
        <x:v>5</x:v>
      </x:c>
      <x:c r="E21" s="28" t="n">
        <x:v>5</x:v>
      </x:c>
      <x:c r="F21" s="16" t="str">
        <x:v>appendices/appendix-f/index.html</x:v>
      </x:c>
      <x:c r="G21" s="16" t="str">
        <x:v>appendices/appendix-f/index.html#table-t016</x:v>
      </x:c>
      <x:c r="H21" s="16" t="str">
        <x:v>التاريخ/الإصدار / المشكلة أو الهدف / التعديل / نتيجة الاختبار / الحالة</x:v>
      </x:c>
      <x:c r="I21" s="16" t="str">
        <x:v>نموذج فارغ يحتاج تعبئة</x:v>
      </x:c>
      <x:c r="J21" s="16" t="str">
        <x:v>إضافة أحداث التطوير الفعلية وتواريخها ونتائج فحصها</x:v>
      </x:c>
      <x:c r="K21" s="17" t="str">
        <x:v>أوقف التجربة وأخبر المعلم إذا شعرت بدوار أو انزعاج. / الملحق (و): سجل التطوير المقترح / نموذج فارغ للاستخدام في الإصدارات اللاحقة</x:v>
      </x:c>
    </x:row>
    <x:row r="22" ht="60" hidden="0" customHeight="1">
      <x:c r="A22" s="21" t="str">
        <x:v>T017</x:v>
      </x:c>
      <x:c r="B22" s="13" t="str">
        <x:v>إطار بيان نشر</x:v>
      </x:c>
      <x:c r="C22" s="13" t="str">
        <x:v>إطار بيان نشر</x:v>
      </x:c>
      <x:c r="D22" s="27" t="n">
        <x:v>1</x:v>
      </x:c>
      <x:c r="E22" s="27" t="n">
        <x:v>1</x:v>
      </x:c>
      <x:c r="F22" s="13" t="str">
        <x:v>appendices/appendix-g/index.html</x:v>
      </x:c>
      <x:c r="G22" s="13" t="str">
        <x:v>appendices/appendix-g/index.html#table-t017</x:v>
      </x:c>
      <x:c r="H22" s="13" t="str">
        <x:v>صياغة مقترحة: يخطط الباحث لإتاحة النسخة التعليمية الأساسية من التطبيق مجانًا للمعلمين والطلبة بعد استكمال التطوير والاختبارات ومتطلبات النشر. ولا تعني الإتاحة المجانية التنازل عن حقوق الملكية الفكرية أو نشر الشفرة المصدرية؛ إذ يحتفظ الباحث بحقوق تصميم التطبيق ومكوناته، مع إمكان تطوير خدمات أو إصدارات مؤسسية موسعة مستقبلًا.</x:v>
      </x:c>
      <x:c r="I22" s="13" t="str">
        <x:v>موجود</x:v>
      </x:c>
      <x:c r="J22" s="13" t="str">
        <x:v>تحويل إلى فقرة بارزة بدل جدول تنسيق</x:v>
      </x:c>
      <x:c r="K22" s="14" t="str">
        <x:v>الملحق (ز): بيان النشر المقترح</x:v>
      </x:c>
    </x:row>
    <x:row r="23" ht="24" hidden="0" customHeight="1">
      <x:c r="A23" s="22" t="str">
        <x:v>T018</x:v>
      </x:c>
      <x:c r="B23" s="16" t="str">
        <x:v>مقارنة منهجية</x:v>
      </x:c>
      <x:c r="C23" s="16" t="str">
        <x:v>مقارنة منهجية</x:v>
      </x:c>
      <x:c r="D23" s="28" t="n">
        <x:v>7</x:v>
      </x:c>
      <x:c r="E23" s="28" t="n">
        <x:v>3</x:v>
      </x:c>
      <x:c r="F23" s="16" t="str">
        <x:v>appendices/appendix-h/index.html</x:v>
      </x:c>
      <x:c r="G23" s="16" t="str">
        <x:v>appendices/appendix-h/index.html#table-t018</x:v>
      </x:c>
      <x:c r="H23" s="16" t="str">
        <x:v>العنصر / الدراسة الحالية / الدراسة المستقبلية</x:v>
      </x:c>
      <x:c r="I23" s="16" t="str">
        <x:v>موجود</x:v>
      </x:c>
      <x:c r="J23" s="16" t="str">
        <x:v>تحويل إلى جدول HTML قابل للقراءة</x:v>
      </x:c>
      <x:c r="K23" s="17" t="str">
        <x:v>الملحق (ح): توضيح الفرق بين هذه الدراسة ودراسة الأثر المستقبلية / مقارنة منهجية</x:v>
      </x:c>
    </x:row>
    <x:row r="24" ht="72" hidden="0" customHeight="1">
      <x:c r="A24" s="21" t="str">
        <x:v>T019</x:v>
      </x:c>
      <x:c r="B24" s="13" t="str">
        <x:v>بيانات إصدار Alpha v1.0.0</x:v>
      </x:c>
      <x:c r="C24" s="13" t="str">
        <x:v>بيانات إصدار Alpha v1.0.0</x:v>
      </x:c>
      <x:c r="D24" s="27" t="n">
        <x:v>8</x:v>
      </x:c>
      <x:c r="E24" s="27" t="n">
        <x:v>2</x:v>
      </x:c>
      <x:c r="F24" s="13" t="str">
        <x:v>appendices/appendix-i/index.html#appendix-i-section-01</x:v>
      </x:c>
      <x:c r="G24" s="13" t="str">
        <x:v>appendices/appendix-i/index.html#table-t019</x:v>
      </x:c>
      <x:c r="H24" s="13" t="str">
        <x:v>اسم التطبيق / Geometry VR Lab — مختبر الهندسة بالواقع الافتراضي</x:v>
      </x:c>
      <x:c r="I24" s="13" t="str">
        <x:v>موجود</x:v>
      </x:c>
      <x:c r="J24" s="13" t="str">
        <x:v>تحويل إلى جدول HTML قابل للقراءة؛ مراجعة الإصدار وحالة الإنجاز</x:v>
      </x:c>
      <x:c r="K24" s="14" t="str">
        <x:v>Geometry VR Lab — Alpha v1.0.0 / يوثّق هذا الملحق الإنجاز العملي المتحقق بتاريخ 28 تموز/يوليو 2026، بعد تحويل المشروع من مشاهد تعمل داخل Unity إلى تطبيق Android مستقل وموقّع، ثم تثبيته وتشغيله واختباره فعليًا على نظارة Meta Quest 3S. ويُعد هذا الاختبار تحققًا وظيفيًا من سلامة البناء والتثبيت والتشغيل، ولا يُعد قياسًا لفاعلية التعلم لدى عينة من الطلبة. / طاقة تعريف التطبيق</x:v>
      </x:c>
    </x:row>
    <x:row r="25" ht="36" hidden="0" customHeight="1">
      <x:c r="A25" s="22" t="str">
        <x:v>T020</x:v>
      </x:c>
      <x:c r="B25" s="16" t="str">
        <x:v>متطلبات تقنية للإصدار</x:v>
      </x:c>
      <x:c r="C25" s="16" t="str">
        <x:v>متطلبات تقنية للإصدار</x:v>
      </x:c>
      <x:c r="D25" s="28" t="n">
        <x:v>5</x:v>
      </x:c>
      <x:c r="E25" s="28" t="n">
        <x:v>2</x:v>
      </x:c>
      <x:c r="F25" s="16" t="str">
        <x:v>appendices/appendix-i/index.html#appendix-i-section-07</x:v>
      </x:c>
      <x:c r="G25" s="16" t="str">
        <x:v>appendices/appendix-i/index.html#table-t020</x:v>
      </x:c>
      <x:c r="H25" s="16" t="str">
        <x:v>نظام التشغيل المستهدف / Android/Meta Quest — تطبيق VR مستقل</x:v>
      </x:c>
      <x:c r="I25" s="16" t="str">
        <x:v>موجود</x:v>
      </x:c>
      <x:c r="J25" s="16" t="str">
        <x:v>تحويل إلى جدول HTML قابل للقراءة؛ مراجعة الإصدار وحالة الإنجاز</x:v>
      </x:c>
      <x:c r="K25" s="17" t="str">
        <x:v>• شاشة خارجية أو البث من النظارة خيار مساعد لمتابعة الطالب، وليس شرطًا لعمل التطبيق. / • إجراءات تنظيف مناسبة للنظارة ووسادة الوجه بين المستخدمين، وتنظيم جلسات قصيرة مع فواصل. / متطلبات تقنية مختصرة</x:v>
      </x:c>
    </x:row>
    <x:row r="26" ht="36" hidden="0" customHeight="1">
      <x:c r="A26" s="21" t="str">
        <x:v>T021</x:v>
      </x:c>
      <x:c r="B26" s="13" t="str">
        <x:v>المسار التعليمي</x:v>
      </x:c>
      <x:c r="C26" s="13" t="str">
        <x:v>المسار التعليمي</x:v>
      </x:c>
      <x:c r="D26" s="27" t="n">
        <x:v>6</x:v>
      </x:c>
      <x:c r="E26" s="27" t="n">
        <x:v>2</x:v>
      </x:c>
      <x:c r="F26" s="13" t="str">
        <x:v>appendices/appendix-i/index.html#appendix-i-section-12</x:v>
      </x:c>
      <x:c r="G26" s="13" t="str">
        <x:v>appendices/appendix-i/index.html#table-t021</x:v>
      </x:c>
      <x:c r="H26" s="13" t="str">
        <x:v>1. التهيئة / التعرّف إلى النظارة ويدي التحكم والنظر والحركة داخل الغرفة الافتراضية.</x:v>
      </x:c>
      <x:c r="I26" s="13" t="str">
        <x:v>موجود</x:v>
      </x:c>
      <x:c r="J26" s="13" t="str">
        <x:v>تحويل إلى جدول HTML قابل للقراءة؛ مراجعة الإصدار وحالة الإنجاز</x:v>
      </x:c>
      <x:c r="K26" s="14" t="str">
        <x:v>• 4. اختيار Geometry VR Lab أو معرّف الحزمة com.ibrahimieh.geometryvrlab. / • 5. بدء التهيئة، ثم تنفيذ مهام التدريب قبل دخول مختبر المجسمات. / ج. المسار التعليمي داخل التطبيق</x:v>
      </x:c>
    </x:row>
    <x:row r="27" ht="60" hidden="0" customHeight="1">
      <x:c r="A27" s="22" t="str">
        <x:v>T022</x:v>
      </x:c>
      <x:c r="B27" s="16" t="str">
        <x:v>تخطيط صور الكرة والأسطوانة</x:v>
      </x:c>
      <x:c r="C27" s="16" t="str">
        <x:v>تخطيط صور الكرة والأسطوانة</x:v>
      </x:c>
      <x:c r="D27" s="28" t="n">
        <x:v>2</x:v>
      </x:c>
      <x:c r="E27" s="28" t="n">
        <x:v>2</x:v>
      </x:c>
      <x:c r="F27" s="16" t="str">
        <x:v>appendices/appendix-i/index.html#appendix-i-section-13</x:v>
      </x:c>
      <x:c r="G27" s="16" t="str">
        <x:v>appendices/appendix-i/index.html#table-t022</x:v>
      </x:c>
      <x:c r="H27" s="16" t="str">
        <x:v> / </x:v>
      </x:c>
      <x:c r="I27" s="16" t="str">
        <x:v>موجود</x:v>
      </x:c>
      <x:c r="J27" s="16" t="str">
        <x:v>تحويل إلى شكلين مع تعليقات؛ ليس جدول نتائج</x:v>
      </x:c>
      <x:c r="K27" s="17" t="str">
        <x:v>دور المعلم هو توجيه الملاحظة وطرح الأسئلة وربط الخبرة الحسية بالمصطلح الهندسي، مع تجنب تقديم كل الإجابات قبل أن يدوّر الطالب المجسم ويراه من أكثر من جهة. ويساند الإرشاد الصوتي العربي هذا الدور بتقديم التعليمات الإجرائية والتشجيع وإشارات الانتقال، لكنه لا يستبدل الحوار التربوي أو متابعة الفهم. / صور من داخل التطبيق: الكرة والأسطوانة</x:v>
      </x:c>
    </x:row>
    <x:row r="28" ht="60" hidden="0" customHeight="1">
      <x:c r="A28" s="33" t="str">
        <x:v>T023</x:v>
      </x:c>
      <x:c r="B28" s="31" t="str">
        <x:v>بيانات الفيديو التاريخي</x:v>
      </x:c>
      <x:c r="C28" s="31" t="str">
        <x:v>بيانات الفيديو التاريخي</x:v>
      </x:c>
      <x:c r="D28" s="35" t="n">
        <x:v>4</x:v>
      </x:c>
      <x:c r="E28" s="35" t="n">
        <x:v>2</x:v>
      </x:c>
      <x:c r="F28" s="31" t="str">
        <x:v>appendices/appendix-i/index.html#appendix-i-section-15</x:v>
      </x:c>
      <x:c r="G28" s="31" t="str">
        <x:v>appendices/appendix-i/index.html#table-t023</x:v>
      </x:c>
      <x:c r="H28" s="31" t="str">
        <x:v>اسم ملف الفيديو / Geometry_VR_Lab_Best_Clips.mp4</x:v>
      </x:c>
      <x:c r="I28" s="31" t="str">
        <x:v>موجود</x:v>
      </x:c>
      <x:c r="J28" s="31" t="str">
        <x:v>تحويل إلى جدول HTML قابل للقراءة؛ مراجعة الإصدار وحالة الإنجاز</x:v>
      </x:c>
      <x:c r="K28" s="32" t="str">
        <x:v>شكل (ط-6): المكعب بعد تغيير زاوية الرؤية، مع استمرار ظهور التسميات المكانية. / الفيديو التوثيقي / أُعدت نسخة مختصرة من التسجيل الأصلي بعد حذف المقاطع المهزوزة ولحظات اختفاء الكاميرا وظهور الغرفة الحقيقية. تبلغ مدة النسخة المختارة دقيقتين و43 ثانية، وتعرض التهيئة والتفاعل مع المجسمات والانتقال إلى مختبر المجسمات.</x:v>
      </x:c>
    </x:row>
  </x:sheetData>
  <x:mergeCells>
    <x:mergeCell ref="A1:E1"/>
    <x:mergeCell ref="A2:E2"/>
    <x:mergeCell ref="A3:E3"/>
  </x:mergeCells>
  <x:pageMargins left="0.7" right="0.7" top="0.75" bottom="0.75" header="0.3" footer="0.3"/>
  <x:tableParts count="1">
    <x:tablePart xmlns:r="http://schemas.openxmlformats.org/officeDocument/2006/relationships" r:id="R6b0af8b14789489e"/>
  </x:tableParts>
</x:worksheet>
</file>

<file path=xl/worksheets/sheet4.xml><?xml version="1.0" encoding="utf-8"?>
<x:worksheet xmlns:x="http://schemas.openxmlformats.org/spreadsheetml/2006/main">
  <x:sheetPr>
    <x:tabColor rgb="FF23364D"/>
  </x:sheetPr>
  <x:sheetViews>
    <x:sheetView showGridLines="0" workbookViewId="0">
      <x:pane xSplit="1" ySplit="5" topLeftCell="B6" activePane="bottomRight" state="frozen"/>
    </x:sheetView>
  </x:sheetViews>
  <x:sheetFormatPr defaultRowHeight="15"/>
  <x:cols>
    <x:col min="1" max="1" width="11.670000076293945" hidden="0" customWidth="1"/>
    <x:col min="2" max="2" width="34.439998626708984" hidden="0" customWidth="1"/>
    <x:col min="3" max="3" width="25.559999465942383" hidden="0" customWidth="1"/>
    <x:col min="4" max="4" width="23.329999923706055" hidden="0" customWidth="1"/>
    <x:col min="5" max="5" width="46.66999816894531" hidden="0" customWidth="1"/>
    <x:col min="6" max="6" width="20" hidden="0" customWidth="1"/>
    <x:col min="7" max="7" width="11.670000076293945" hidden="0" customWidth="1"/>
    <x:col min="8" max="8" width="12.779999732971191" hidden="0" customWidth="1"/>
    <x:col min="9" max="9" width="14.4399995803833" hidden="0" customWidth="1"/>
    <x:col min="10" max="10" width="10" hidden="0" customWidth="1"/>
    <x:col min="11" max="11" width="14.4399995803833" hidden="0" customWidth="1"/>
    <x:col min="12" max="12" width="15" hidden="0" customWidth="1"/>
    <x:col min="13" max="13" width="44.439998626708984" hidden="0" customWidth="1"/>
    <x:col min="14" max="14" width="48.33000183105469" hidden="0" customWidth="1"/>
    <x:col min="15" max="15" width="35.560001373291016" hidden="0" customWidth="1"/>
    <x:col min="16" max="16" width="45.560001373291016" hidden="0" customWidth="1"/>
    <x:col min="17" max="17" width="52.779998779296875" hidden="0" customWidth="1"/>
    <x:col min="18" max="18" width="57.779998779296875" hidden="0" customWidth="1"/>
  </x:cols>
  <x:sheetData>
    <x:row r="1" ht="34" customHeight="1">
      <x:c r="A1" s="5" t="str">
        <x:v>الصور — مختبر الهندسة بالواقع الافتراضي</x:v>
      </x:c>
      <x:c r="B1" s="5"/>
      <x:c r="C1" s="5"/>
      <x:c r="D1" s="5"/>
      <x:c r="E1" s="5"/>
      <x:c r="F1" s="4"/>
      <x:c r="G1" s="4"/>
      <x:c r="H1" s="4"/>
      <x:c r="I1" s="4"/>
      <x:c r="J1" s="4"/>
      <x:c r="K1" s="4"/>
      <x:c r="L1" s="4"/>
      <x:c r="M1" s="4"/>
      <x:c r="N1" s="4"/>
      <x:c r="O1" s="4"/>
      <x:c r="P1" s="4"/>
      <x:c r="Q1" s="4"/>
      <x:c r="R1" s="4"/>
    </x:row>
    <x:row r="2" ht="35" customHeight="1">
      <x:c r="A2" s="4" t="str">
        <x:v>المسارات مقترحة داخل الموقع؛ السجل يحتفظ بالأصل والتكرارات وملاحظات الاستكمال.</x:v>
      </x:c>
      <x:c r="B2" s="4"/>
      <x:c r="C2" s="4"/>
      <x:c r="D2" s="4"/>
      <x:c r="E2" s="4"/>
      <x:c r="F2" s="4"/>
      <x:c r="G2" s="4"/>
      <x:c r="H2" s="4"/>
      <x:c r="I2" s="4"/>
      <x:c r="J2" s="4"/>
      <x:c r="K2" s="4"/>
      <x:c r="L2" s="4"/>
      <x:c r="M2" s="4"/>
      <x:c r="N2" s="4"/>
      <x:c r="O2" s="4"/>
      <x:c r="P2" s="4"/>
      <x:c r="Q2" s="4"/>
      <x:c r="R2" s="4"/>
    </x:row>
    <x:row r="3" ht="30" customHeight="1">
      <x:c r="A3" s="4" t="str">
        <x:v>تاريخ الجرد: 2026-10-04. تُترك البيانات غير المعروفة صريحة دون استنتاج الإصدار من اسم الملف.</x:v>
      </x:c>
      <x:c r="B3" s="4"/>
      <x:c r="C3" s="4"/>
      <x:c r="D3" s="4"/>
      <x:c r="E3" s="4"/>
      <x:c r="F3" s="4"/>
      <x:c r="G3" s="4"/>
      <x:c r="H3" s="4"/>
      <x:c r="I3" s="4"/>
      <x:c r="J3" s="4"/>
      <x:c r="K3" s="4"/>
      <x:c r="L3" s="4"/>
      <x:c r="M3" s="4"/>
      <x:c r="N3" s="4"/>
      <x:c r="O3" s="4"/>
      <x:c r="P3" s="4"/>
      <x:c r="Q3" s="4"/>
      <x:c r="R3" s="4"/>
    </x:row>
    <x:row r="4">
      <x:c r="A4" s="4"/>
      <x:c r="B4" s="4"/>
      <x:c r="C4" s="4"/>
      <x:c r="D4" s="4"/>
      <x:c r="E4" s="4"/>
      <x:c r="F4" s="4"/>
      <x:c r="G4" s="4"/>
      <x:c r="H4" s="4"/>
      <x:c r="I4" s="4"/>
      <x:c r="J4" s="4"/>
      <x:c r="K4" s="4"/>
      <x:c r="L4" s="4"/>
      <x:c r="M4" s="4"/>
      <x:c r="N4" s="4"/>
      <x:c r="O4" s="4"/>
      <x:c r="P4" s="4"/>
      <x:c r="Q4" s="4"/>
      <x:c r="R4" s="4"/>
    </x:row>
    <x:row r="5" ht="38" customHeight="1">
      <x:c r="A5" s="9" t="str">
        <x:v>المعرف</x:v>
      </x:c>
      <x:c r="B5" s="10" t="str">
        <x:v>الموضوع المرئي</x:v>
      </x:c>
      <x:c r="C5" s="10" t="str">
        <x:v>نوع المادة</x:v>
      </x:c>
      <x:c r="D5" s="10" t="str">
        <x:v>الأرشيف أو المصدر</x:v>
      </x:c>
      <x:c r="E5" s="10" t="str">
        <x:v>العضو أو الملف الأصلي</x:v>
      </x:c>
      <x:c r="F5" s="10" t="str">
        <x:v>موضع المصدر</x:v>
      </x:c>
      <x:c r="G5" s="10" t="str">
        <x:v>العرض px</x:v>
      </x:c>
      <x:c r="H5" s="10" t="str">
        <x:v>الارتفاع px</x:v>
      </x:c>
      <x:c r="I5" s="10" t="str">
        <x:v>الحجم بايت</x:v>
      </x:c>
      <x:c r="J5" s="10" t="str">
        <x:v>الصيغة</x:v>
      </x:c>
      <x:c r="K5" s="10" t="str">
        <x:v>المعرف الفريد</x:v>
      </x:c>
      <x:c r="L5" s="10" t="str">
        <x:v>مطابقة للأصل</x:v>
      </x:c>
      <x:c r="M5" s="10" t="str">
        <x:v>حالة النشر</x:v>
      </x:c>
      <x:c r="N5" s="10" t="str">
        <x:v>موضع مقترح</x:v>
      </x:c>
      <x:c r="O5" s="10" t="str">
        <x:v>المسار المقترح للصورة</x:v>
      </x:c>
      <x:c r="P5" s="10" t="str">
        <x:v>ما تعرضه</x:v>
      </x:c>
      <x:c r="Q5" s="10" t="str">
        <x:v>حدود الدليل</x:v>
      </x:c>
      <x:c r="R5" s="11" t="str">
        <x:v>SHA-256</x:v>
      </x:c>
    </x:row>
    <x:row r="6" ht="36" hidden="0" customHeight="1">
      <x:c r="A6" s="21" t="str">
        <x:v>IMG-L-001</x:v>
      </x:c>
      <x:c r="B6" s="13" t="str">
        <x:v>التفاعل والإمساك بالمجسمات داخل المختبر</x:v>
      </x:c>
      <x:c r="C6" s="13" t="str">
        <x:v>لقطة/مادة بصرية؛ النوع في الوصف</x:v>
      </x:c>
      <x:c r="D6" s="13" t="str">
        <x:v>images.zip</x:v>
      </x:c>
      <x:c r="E6" s="13" t="str">
        <x:v>images/01_VR_Interaction_2560x1440.png</x:v>
      </x:c>
      <x:c r="F6" s="13" t="str">
        <x:v>images/01_VR_Interaction_2560x1440.png</x:v>
      </x:c>
      <x:c r="G6" s="27" t="n">
        <x:v>2560</x:v>
      </x:c>
      <x:c r="H6" s="27" t="n">
        <x:v>1440</x:v>
      </x:c>
      <x:c r="I6" s="27" t="n">
        <x:v>1697343</x:v>
      </x:c>
      <x:c r="J6" s="13" t="str">
        <x:v>PNG</x:v>
      </x:c>
      <x:c r="K6" s="13" t="str">
        <x:v>IMG-L-001</x:v>
      </x:c>
      <x:c r="L6" s="13" t="str"/>
      <x:c r="M6" s="13" t="str">
        <x:v>مرشح للانتقاء مع توثيق المصدر والإصدار</x:v>
      </x:c>
      <x:c r="N6" s="13" t="str">
        <x:v>chapters/chapter-03/index.html#section-3-9-1؛ development/index.html#before-merge؛ الفصل الثالث: آلية التفاعل؛ الفصل الرابع: عرض الوظائف؛ ملحق دليل الطالب</x:v>
      </x:c>
      <x:c r="O6" s="13" t="str">
        <x:v>assets/images/img-l-001.png</x:v>
      </x:c>
      <x:c r="P6" s="13" t="str">
        <x:v>التفاعل والإمساك بالمجسمات داخل المختبر</x:v>
      </x:c>
      <x:c r="Q6" s="13" t="str">
        <x:v>صورة مرئية فقط؛ لا تثبت نتيجة اختبار ولا تطابق النسخة الحالية</x:v>
      </x:c>
      <x:c r="R6" s="39" t="str">
        <x:v>5e7fe8011be9e1a172bdde1f1b11233fae1566787acc3290a31c1898c112287a</x:v>
      </x:c>
    </x:row>
    <x:row r="7" ht="36" hidden="0" customHeight="1">
      <x:c r="A7" s="22" t="str">
        <x:v>IMG-L-002</x:v>
      </x:c>
      <x:c r="B7" s="16" t="str">
        <x:v>التفاعل والإمساك بالمجسمات داخل المختبر</x:v>
      </x:c>
      <x:c r="C7" s="16" t="str">
        <x:v>لقطة/مادة بصرية؛ النوع في الوصف</x:v>
      </x:c>
      <x:c r="D7" s="16" t="str">
        <x:v>images.zip</x:v>
      </x:c>
      <x:c r="E7" s="16" t="str">
        <x:v>images/28-07-2026-01.png</x:v>
      </x:c>
      <x:c r="F7" s="16" t="str">
        <x:v>images/28-07-2026-01.png</x:v>
      </x:c>
      <x:c r="G7" s="28" t="n">
        <x:v>2564</x:v>
      </x:c>
      <x:c r="H7" s="28" t="n">
        <x:v>1444</x:v>
      </x:c>
      <x:c r="I7" s="28" t="n">
        <x:v>2699701</x:v>
      </x:c>
      <x:c r="J7" s="16" t="str">
        <x:v>PNG</x:v>
      </x:c>
      <x:c r="K7" s="16" t="str">
        <x:v>IMG-L-002</x:v>
      </x:c>
      <x:c r="L7" s="16" t="str"/>
      <x:c r="M7" s="16" t="str">
        <x:v>مرشح للانتقاء مع توثيق المصدر والإصدار</x:v>
      </x:c>
      <x:c r="N7" s="16" t="str">
        <x:v>chapters/chapter-03/index.html#section-3-9-1؛ development/index.html#before-merge؛ الفصل الثالث: آلية التفاعل؛ الفصل الرابع: عرض الوظائف؛ ملحق دليل الطالب</x:v>
      </x:c>
      <x:c r="O7" s="16" t="str">
        <x:v>assets/images/img-l-002.png</x:v>
      </x:c>
      <x:c r="P7" s="16" t="str">
        <x:v>التفاعل والإمساك بالمجسمات داخل المختبر</x:v>
      </x:c>
      <x:c r="Q7" s="16" t="str">
        <x:v>صورة مرئية فقط؛ لا تثبت نتيجة اختبار ولا تطابق النسخة الحالية</x:v>
      </x:c>
      <x:c r="R7" s="40" t="str">
        <x:v>8fe9b3ff3bf805e4f5f9fb644adfe3ae95f97d272e6da3635f49e94fc653a712</x:v>
      </x:c>
    </x:row>
    <x:row r="8" ht="36" hidden="0" customHeight="1">
      <x:c r="A8" s="21" t="str">
        <x:v>IMG-L-003</x:v>
      </x:c>
      <x:c r="B8" s="13" t="str">
        <x:v>التفاعل والإمساك بالمجسمات داخل المختبر</x:v>
      </x:c>
      <x:c r="C8" s="13" t="str">
        <x:v>لقطة/مادة بصرية؛ النوع في الوصف</x:v>
      </x:c>
      <x:c r="D8" s="13" t="str">
        <x:v>images.zip</x:v>
      </x:c>
      <x:c r="E8" s="13" t="str">
        <x:v>images/28-07-2026-02.png</x:v>
      </x:c>
      <x:c r="F8" s="13" t="str">
        <x:v>images/28-07-2026-02.png</x:v>
      </x:c>
      <x:c r="G8" s="27" t="n">
        <x:v>2564</x:v>
      </x:c>
      <x:c r="H8" s="27" t="n">
        <x:v>1443</x:v>
      </x:c>
      <x:c r="I8" s="27" t="n">
        <x:v>1747459</x:v>
      </x:c>
      <x:c r="J8" s="13" t="str">
        <x:v>PNG</x:v>
      </x:c>
      <x:c r="K8" s="13" t="str">
        <x:v>IMG-L-003</x:v>
      </x:c>
      <x:c r="L8" s="13" t="str"/>
      <x:c r="M8" s="13" t="str">
        <x:v>مرشح للانتقاء مع توثيق المصدر والإصدار</x:v>
      </x:c>
      <x:c r="N8" s="13" t="str">
        <x:v>chapters/chapter-03/index.html#section-3-9-1؛ development/index.html#before-merge؛ الفصل الثالث: آلية التفاعل؛ الفصل الرابع: عرض الوظائف؛ ملحق دليل الطالب</x:v>
      </x:c>
      <x:c r="O8" s="13" t="str">
        <x:v>assets/images/img-l-003.png</x:v>
      </x:c>
      <x:c r="P8" s="13" t="str">
        <x:v>التفاعل والإمساك بالمجسمات داخل المختبر</x:v>
      </x:c>
      <x:c r="Q8" s="13" t="str">
        <x:v>صورة مرئية فقط؛ لا تثبت نتيجة اختبار ولا تطابق النسخة الحالية</x:v>
      </x:c>
      <x:c r="R8" s="39" t="str">
        <x:v>58090100121923919dafa21bcf02218a9e605dc206c7e0779083547c450c4907</x:v>
      </x:c>
    </x:row>
    <x:row r="9" ht="36" hidden="0" customHeight="1">
      <x:c r="A9" s="22" t="str">
        <x:v>IMG-L-004</x:v>
      </x:c>
      <x:c r="B9" s="16" t="str">
        <x:v>التفاعل والإمساك بالمجسمات داخل المختبر</x:v>
      </x:c>
      <x:c r="C9" s="16" t="str">
        <x:v>لقطة/مادة بصرية؛ النوع في الوصف</x:v>
      </x:c>
      <x:c r="D9" s="16" t="str">
        <x:v>images.zip</x:v>
      </x:c>
      <x:c r="E9" s="16" t="str">
        <x:v>images/28-07-2026-03.png</x:v>
      </x:c>
      <x:c r="F9" s="16" t="str">
        <x:v>images/28-07-2026-03.png</x:v>
      </x:c>
      <x:c r="G9" s="28" t="n">
        <x:v>2564</x:v>
      </x:c>
      <x:c r="H9" s="28" t="n">
        <x:v>1440</x:v>
      </x:c>
      <x:c r="I9" s="28" t="n">
        <x:v>1834881</x:v>
      </x:c>
      <x:c r="J9" s="16" t="str">
        <x:v>PNG</x:v>
      </x:c>
      <x:c r="K9" s="16" t="str">
        <x:v>IMG-L-004</x:v>
      </x:c>
      <x:c r="L9" s="16" t="str"/>
      <x:c r="M9" s="16" t="str">
        <x:v>مرشح للانتقاء مع توثيق المصدر والإصدار</x:v>
      </x:c>
      <x:c r="N9" s="16" t="str">
        <x:v>chapters/chapter-03/index.html#section-3-9-1؛ development/index.html#before-merge؛ الفصل الثالث: آلية التفاعل؛ الفصل الرابع: عرض الوظائف؛ ملحق دليل الطالب</x:v>
      </x:c>
      <x:c r="O9" s="16" t="str">
        <x:v>assets/images/img-l-004.png</x:v>
      </x:c>
      <x:c r="P9" s="16" t="str">
        <x:v>التفاعل والإمساك بالمجسمات داخل المختبر</x:v>
      </x:c>
      <x:c r="Q9" s="16" t="str">
        <x:v>صورة مرئية فقط؛ لا تثبت نتيجة اختبار ولا تطابق النسخة الحالية</x:v>
      </x:c>
      <x:c r="R9" s="40" t="str">
        <x:v>9c8cfe586eea7b764243b6e80312a968f4bce44fe86c6fa4472553e81133f1c3</x:v>
      </x:c>
    </x:row>
    <x:row r="10" ht="24" hidden="0" customHeight="1">
      <x:c r="A10" s="21" t="str">
        <x:v>IMG-L-005</x:v>
      </x:c>
      <x:c r="B10" s="13" t="str">
        <x:v>هوية التطبيق وأغلفته</x:v>
      </x:c>
      <x:c r="C10" s="13" t="str">
        <x:v>لقطة/مادة بصرية؛ النوع في الوصف</x:v>
      </x:c>
      <x:c r="D10" s="13" t="str">
        <x:v>images.zip</x:v>
      </x:c>
      <x:c r="E10" s="13" t="str">
        <x:v>images/cover Apps.png</x:v>
      </x:c>
      <x:c r="F10" s="13" t="str">
        <x:v>images/cover Apps.png</x:v>
      </x:c>
      <x:c r="G10" s="27" t="n">
        <x:v>2564</x:v>
      </x:c>
      <x:c r="H10" s="27" t="n">
        <x:v>1443</x:v>
      </x:c>
      <x:c r="I10" s="27" t="n">
        <x:v>2740393</x:v>
      </x:c>
      <x:c r="J10" s="13" t="str">
        <x:v>PNG</x:v>
      </x:c>
      <x:c r="K10" s="13" t="str">
        <x:v>IMG-L-005</x:v>
      </x:c>
      <x:c r="L10" s="13" t="str"/>
      <x:c r="M10" s="13" t="str">
        <x:v>مرشح للانتقاء مع توثيق المصدر والإصدار</x:v>
      </x:c>
      <x:c r="N10" s="13" t="str">
        <x:v>index.html#application؛ الرئيسة/صفحة تعريف التطبيق؛ اعتماد غلاف واحد وأيقونة مناسبة</x:v>
      </x:c>
      <x:c r="O10" s="13" t="str">
        <x:v>assets/images/img-l-005.png</x:v>
      </x:c>
      <x:c r="P10" s="13" t="str">
        <x:v>هوية التطبيق وأغلفته</x:v>
      </x:c>
      <x:c r="Q10" s="13" t="str">
        <x:v>صورة مرئية فقط؛ لا تثبت نتيجة اختبار ولا تطابق النسخة الحالية</x:v>
      </x:c>
      <x:c r="R10" s="39" t="str">
        <x:v>e82aa06ee5d1472cea93ed6f33bcc77fb19a24e48c84923ebbc80dbb4b3a77d8</x:v>
      </x:c>
    </x:row>
    <x:row r="11" ht="60" hidden="0" customHeight="1">
      <x:c r="A11" s="22" t="str">
        <x:v>IMG-L-006</x:v>
      </x:c>
      <x:c r="B11" s="16" t="str">
        <x:v>مختبر المجسمات وخصائصها</x:v>
      </x:c>
      <x:c r="C11" s="16" t="str">
        <x:v>لقطة/مادة بصرية؛ النوع في الوصف</x:v>
      </x:c>
      <x:c r="D11" s="16" t="str">
        <x:v>images.zip</x:v>
      </x:c>
      <x:c r="E11" s="16" t="str">
        <x:v>images/Design and Development of an Immersive Interactive Virtual Reality Environment.jpeg</x:v>
      </x:c>
      <x:c r="F11" s="16" t="str">
        <x:v>images/Design and Development of an Immersive Interactive Virtual Reality Environment.jpeg</x:v>
      </x:c>
      <x:c r="G11" s="28" t="n">
        <x:v>1600</x:v>
      </x:c>
      <x:c r="H11" s="28" t="n">
        <x:v>900</x:v>
      </x:c>
      <x:c r="I11" s="28" t="n">
        <x:v>44649</x:v>
      </x:c>
      <x:c r="J11" s="16" t="str">
        <x:v>JPEG</x:v>
      </x:c>
      <x:c r="K11" s="16" t="str">
        <x:v>IMG-L-006</x:v>
      </x:c>
      <x:c r="L11" s="16" t="str"/>
      <x:c r="M11" s="16" t="str">
        <x:v>مرشح للانتقاء مع توثيق المصدر والإصدار</x:v>
      </x:c>
      <x:c r="N11" s="16" t="str">
        <x:v>chapters/chapter-03/index.html#section-3-8؛ evidence/index.html#solids؛ الفصل الثالث: تصميم مختبر المجسمات؛ الفصل الرابع: الواجهات؛ ملحق دليل الطالب</x:v>
      </x:c>
      <x:c r="O11" s="16" t="str">
        <x:v>assets/images/img-l-006.jpeg</x:v>
      </x:c>
      <x:c r="P11" s="16" t="str">
        <x:v>مختبر المجسمات وخصائصها</x:v>
      </x:c>
      <x:c r="Q11" s="16" t="str">
        <x:v>صورة مرئية فقط؛ لا تثبت نتيجة اختبار ولا تطابق النسخة الحالية</x:v>
      </x:c>
      <x:c r="R11" s="40" t="str">
        <x:v>80544b2c29ea2f19daaa80cd10f5aa2f32f6d2254f9381ac94db64ec20ff793f</x:v>
      </x:c>
    </x:row>
    <x:row r="12" ht="24" hidden="0" customHeight="1">
      <x:c r="A12" s="21" t="str">
        <x:v>IMG-L-007</x:v>
      </x:c>
      <x:c r="B12" s="13" t="str">
        <x:v>هوية التطبيق وأغلفته</x:v>
      </x:c>
      <x:c r="C12" s="13" t="str">
        <x:v>لقطة/مادة بصرية؛ النوع في الوصف</x:v>
      </x:c>
      <x:c r="D12" s="13" t="str">
        <x:v>images.zip</x:v>
      </x:c>
      <x:c r="E12" s="13" t="str">
        <x:v>images/geometry-vr-lab.png</x:v>
      </x:c>
      <x:c r="F12" s="13" t="str">
        <x:v>images/geometry-vr-lab.png</x:v>
      </x:c>
      <x:c r="G12" s="27" t="n">
        <x:v>2560</x:v>
      </x:c>
      <x:c r="H12" s="27" t="n">
        <x:v>1440</x:v>
      </x:c>
      <x:c r="I12" s="27" t="n">
        <x:v>5363535</x:v>
      </x:c>
      <x:c r="J12" s="13" t="str">
        <x:v>PNG</x:v>
      </x:c>
      <x:c r="K12" s="13" t="str">
        <x:v>IMG-L-007</x:v>
      </x:c>
      <x:c r="L12" s="13" t="str"/>
      <x:c r="M12" s="13" t="str">
        <x:v>مرشح للانتقاء مع توثيق المصدر والإصدار</x:v>
      </x:c>
      <x:c r="N12" s="13" t="str">
        <x:v>index.html#application؛ الرئيسة/صفحة تعريف التطبيق؛ اعتماد غلاف واحد وأيقونة مناسبة</x:v>
      </x:c>
      <x:c r="O12" s="13" t="str">
        <x:v>assets/images/img-l-007.png</x:v>
      </x:c>
      <x:c r="P12" s="13" t="str">
        <x:v>هوية التطبيق وأغلفته</x:v>
      </x:c>
      <x:c r="Q12" s="13" t="str">
        <x:v>صورة مرئية فقط؛ لا تثبت نتيجة اختبار ولا تطابق النسخة الحالية</x:v>
      </x:c>
      <x:c r="R12" s="39" t="str">
        <x:v>ba23d92d4d29f6631d18f12cf9cbe05f946e066dd287eea2ab9b255e926f94c3</x:v>
      </x:c>
    </x:row>
    <x:row r="13" ht="24" hidden="0" customHeight="1">
      <x:c r="A13" s="22" t="str">
        <x:v>IMG-L-008</x:v>
      </x:c>
      <x:c r="B13" s="16" t="str">
        <x:v>هوية التطبيق وأغلفته</x:v>
      </x:c>
      <x:c r="C13" s="16" t="str">
        <x:v>لقطة/مادة بصرية؛ النوع في الوصف</x:v>
      </x:c>
      <x:c r="D13" s="16" t="str">
        <x:v>images.zip</x:v>
      </x:c>
      <x:c r="E13" s="16" t="str">
        <x:v>images/GeometryVRLab_Foreground_180x180.png</x:v>
      </x:c>
      <x:c r="F13" s="16" t="str">
        <x:v>images/GeometryVRLab_Foreground_180x180.png</x:v>
      </x:c>
      <x:c r="G13" s="28" t="n">
        <x:v>180</x:v>
      </x:c>
      <x:c r="H13" s="28" t="n">
        <x:v>180</x:v>
      </x:c>
      <x:c r="I13" s="28" t="n">
        <x:v>20875</x:v>
      </x:c>
      <x:c r="J13" s="16" t="str">
        <x:v>PNG</x:v>
      </x:c>
      <x:c r="K13" s="16" t="str">
        <x:v>IMG-L-008</x:v>
      </x:c>
      <x:c r="L13" s="16" t="str"/>
      <x:c r="M13" s="16" t="str">
        <x:v>مرشح للانتقاء مع توثيق المصدر والإصدار</x:v>
      </x:c>
      <x:c r="N13" s="16" t="str">
        <x:v>index.html#application؛ الرئيسة/صفحة تعريف التطبيق؛ اعتماد غلاف واحد وأيقونة مناسبة</x:v>
      </x:c>
      <x:c r="O13" s="16" t="str">
        <x:v>assets/images/img-l-008.png</x:v>
      </x:c>
      <x:c r="P13" s="16" t="str">
        <x:v>هوية التطبيق وأغلفته</x:v>
      </x:c>
      <x:c r="Q13" s="16" t="str">
        <x:v>صورة مرئية فقط؛ لا تثبت نتيجة اختبار ولا تطابق النسخة الحالية</x:v>
      </x:c>
      <x:c r="R13" s="40" t="str">
        <x:v>1fe982e40d2036d498d6f42f11256de9ca4d265f177e5be1f06b76c66886521e</x:v>
      </x:c>
    </x:row>
    <x:row r="14" ht="24" hidden="0" customHeight="1">
      <x:c r="A14" s="21" t="str">
        <x:v>IMG-L-009</x:v>
      </x:c>
      <x:c r="B14" s="13" t="str">
        <x:v>هوية التطبيق وأغلفته</x:v>
      </x:c>
      <x:c r="C14" s="13" t="str">
        <x:v>لقطة/مادة بصرية؛ النوع في الوصف</x:v>
      </x:c>
      <x:c r="D14" s="13" t="str">
        <x:v>images.zip</x:v>
      </x:c>
      <x:c r="E14" s="13" t="str">
        <x:v>images/GeometryVRLab_Icon_512x512.png</x:v>
      </x:c>
      <x:c r="F14" s="13" t="str">
        <x:v>images/GeometryVRLab_Icon_512x512.png</x:v>
      </x:c>
      <x:c r="G14" s="27" t="n">
        <x:v>512</x:v>
      </x:c>
      <x:c r="H14" s="27" t="n">
        <x:v>512</x:v>
      </x:c>
      <x:c r="I14" s="27" t="n">
        <x:v>278918</x:v>
      </x:c>
      <x:c r="J14" s="13" t="str">
        <x:v>PNG</x:v>
      </x:c>
      <x:c r="K14" s="13" t="str">
        <x:v>IMG-L-009</x:v>
      </x:c>
      <x:c r="L14" s="13" t="str"/>
      <x:c r="M14" s="13" t="str">
        <x:v>مرشح للانتقاء مع توثيق المصدر والإصدار</x:v>
      </x:c>
      <x:c r="N14" s="13" t="str">
        <x:v>index.html#application؛ الرئيسة/صفحة تعريف التطبيق؛ اعتماد غلاف واحد وأيقونة مناسبة</x:v>
      </x:c>
      <x:c r="O14" s="13" t="str">
        <x:v>assets/images/img-l-009.png</x:v>
      </x:c>
      <x:c r="P14" s="13" t="str">
        <x:v>هوية التطبيق وأغلفته</x:v>
      </x:c>
      <x:c r="Q14" s="13" t="str">
        <x:v>صورة مرئية فقط؛ لا تثبت نتيجة اختبار ولا تطابق النسخة الحالية</x:v>
      </x:c>
      <x:c r="R14" s="39" t="str">
        <x:v>14cd28043a989df79538fa21dcd9a52d783a1d1ce3a1fc33f3d16a8048c391ff</x:v>
      </x:c>
    </x:row>
    <x:row r="15" ht="36" hidden="0" customHeight="1">
      <x:c r="A15" s="22" t="str">
        <x:v>IMG-L-010</x:v>
      </x:c>
      <x:c r="B15" s="16" t="str">
        <x:v>التفاعل والإمساك بالمجسمات داخل المختبر</x:v>
      </x:c>
      <x:c r="C15" s="16" t="str">
        <x:v>لقطة/مادة بصرية؛ النوع في الوصف</x:v>
      </x:c>
      <x:c r="D15" s="16" t="str">
        <x:v>images.zip</x:v>
      </x:c>
      <x:c r="E15" s="16" t="str">
        <x:v>images/New Images/01_VR_Interaction_2560x1440.png</x:v>
      </x:c>
      <x:c r="F15" s="16" t="str">
        <x:v>images/New Images/01_VR_Interaction_2560x1440.png</x:v>
      </x:c>
      <x:c r="G15" s="28" t="n">
        <x:v>2560</x:v>
      </x:c>
      <x:c r="H15" s="28" t="n">
        <x:v>1440</x:v>
      </x:c>
      <x:c r="I15" s="28" t="n">
        <x:v>1697343</x:v>
      </x:c>
      <x:c r="J15" s="16" t="str">
        <x:v>PNG</x:v>
      </x:c>
      <x:c r="K15" s="16" t="str">
        <x:v>IMG-L-001</x:v>
      </x:c>
      <x:c r="L15" s="16" t="str">
        <x:v>IMG-L-001</x:v>
      </x:c>
      <x:c r="M15" s="16" t="str">
        <x:v>مرشح للانتقاء مع توثيق المصدر والإصدار</x:v>
      </x:c>
      <x:c r="N15" s="16" t="str">
        <x:v>chapters/chapter-03/index.html#section-3-9-1؛ development/index.html#before-merge؛ الفصل الثالث: آلية التفاعل؛ الفصل الرابع: عرض الوظائف؛ ملحق دليل الطالب</x:v>
      </x:c>
      <x:c r="O15" s="16" t="str">
        <x:v>assets/images/img-l-001.png</x:v>
      </x:c>
      <x:c r="P15" s="16" t="str">
        <x:v>التفاعل والإمساك بالمجسمات داخل المختبر</x:v>
      </x:c>
      <x:c r="Q15" s="16" t="str">
        <x:v>صورة مرئية فقط؛ لا تثبت نتيجة اختبار ولا تطابق النسخة الحالية</x:v>
      </x:c>
      <x:c r="R15" s="40" t="str">
        <x:v>5e7fe8011be9e1a172bdde1f1b11233fae1566787acc3290a31c1898c112287a</x:v>
      </x:c>
    </x:row>
    <x:row r="16" ht="36" hidden="0" customHeight="1">
      <x:c r="A16" s="21" t="str">
        <x:v>IMG-L-011</x:v>
      </x:c>
      <x:c r="B16" s="13" t="str">
        <x:v>مختبر المجسمات وخصائصها</x:v>
      </x:c>
      <x:c r="C16" s="13" t="str">
        <x:v>لقطة/مادة بصرية؛ النوع في الوصف</x:v>
      </x:c>
      <x:c r="D16" s="13" t="str">
        <x:v>images.zip</x:v>
      </x:c>
      <x:c r="E16" s="13" t="str">
        <x:v>images/New Images/02_Lab_Overview_2560x1440.png</x:v>
      </x:c>
      <x:c r="F16" s="13" t="str">
        <x:v>images/New Images/02_Lab_Overview_2560x1440.png</x:v>
      </x:c>
      <x:c r="G16" s="27" t="n">
        <x:v>2560</x:v>
      </x:c>
      <x:c r="H16" s="27" t="n">
        <x:v>1440</x:v>
      </x:c>
      <x:c r="I16" s="27" t="n">
        <x:v>1477167</x:v>
      </x:c>
      <x:c r="J16" s="13" t="str">
        <x:v>PNG</x:v>
      </x:c>
      <x:c r="K16" s="13" t="str">
        <x:v>IMG-L-011</x:v>
      </x:c>
      <x:c r="L16" s="13" t="str"/>
      <x:c r="M16" s="13" t="str">
        <x:v>مرشح للانتقاء مع توثيق المصدر والإصدار</x:v>
      </x:c>
      <x:c r="N16" s="13" t="str">
        <x:v>chapters/chapter-03/index.html#section-3-8؛ evidence/index.html#solids؛ الفصل الثالث: تصميم مختبر المجسمات؛ الفصل الرابع: الواجهات؛ ملحق دليل الطالب</x:v>
      </x:c>
      <x:c r="O16" s="13" t="str">
        <x:v>assets/images/img-l-011.png</x:v>
      </x:c>
      <x:c r="P16" s="13" t="str">
        <x:v>مختبر المجسمات وخصائصها</x:v>
      </x:c>
      <x:c r="Q16" s="13" t="str">
        <x:v>صورة مرئية فقط؛ لا تثبت نتيجة اختبار ولا تطابق النسخة الحالية</x:v>
      </x:c>
      <x:c r="R16" s="39" t="str">
        <x:v>dc77394b959f65b9bb516355618e03ffe4ee6a0f752fb825728e515283004653</x:v>
      </x:c>
    </x:row>
    <x:row r="17" ht="36" hidden="0" customHeight="1">
      <x:c r="A17" s="22" t="str">
        <x:v>IMG-L-012</x:v>
      </x:c>
      <x:c r="B17" s="16" t="str">
        <x:v>مختبر المجسمات وخصائصها</x:v>
      </x:c>
      <x:c r="C17" s="16" t="str">
        <x:v>لقطة/مادة بصرية؛ النوع في الوصف</x:v>
      </x:c>
      <x:c r="D17" s="16" t="str">
        <x:v>images.zip</x:v>
      </x:c>
      <x:c r="E17" s="16" t="str">
        <x:v>images/New Images/03_Cube_Learning_2560x1440.png</x:v>
      </x:c>
      <x:c r="F17" s="16" t="str">
        <x:v>images/New Images/03_Cube_Learning_2560x1440.png</x:v>
      </x:c>
      <x:c r="G17" s="28" t="n">
        <x:v>2560</x:v>
      </x:c>
      <x:c r="H17" s="28" t="n">
        <x:v>1440</x:v>
      </x:c>
      <x:c r="I17" s="28" t="n">
        <x:v>675233</x:v>
      </x:c>
      <x:c r="J17" s="16" t="str">
        <x:v>PNG</x:v>
      </x:c>
      <x:c r="K17" s="16" t="str">
        <x:v>IMG-L-012</x:v>
      </x:c>
      <x:c r="L17" s="16" t="str"/>
      <x:c r="M17" s="16" t="str">
        <x:v>مرشح للانتقاء مع توثيق المصدر والإصدار</x:v>
      </x:c>
      <x:c r="N17" s="16" t="str">
        <x:v>chapters/chapter-03/index.html#section-3-8؛ evidence/index.html#solids؛ الفصل الثالث: تصميم مختبر المجسمات؛ الفصل الرابع: الواجهات؛ ملحق دليل الطالب</x:v>
      </x:c>
      <x:c r="O17" s="16" t="str">
        <x:v>assets/images/img-l-012.png</x:v>
      </x:c>
      <x:c r="P17" s="16" t="str">
        <x:v>مختبر المجسمات وخصائصها</x:v>
      </x:c>
      <x:c r="Q17" s="16" t="str">
        <x:v>صورة مرئية فقط؛ لا تثبت نتيجة اختبار ولا تطابق النسخة الحالية</x:v>
      </x:c>
      <x:c r="R17" s="40" t="str">
        <x:v>f7109feb1df6ab93e6806ddb207d348dd8d04d285de97579b12c7b2c99fcdf5a</x:v>
      </x:c>
    </x:row>
    <x:row r="18" ht="36" hidden="0" customHeight="1">
      <x:c r="A18" s="21" t="str">
        <x:v>IMG-L-013</x:v>
      </x:c>
      <x:c r="B18" s="13" t="str">
        <x:v>مختبر المجسمات وخصائصها</x:v>
      </x:c>
      <x:c r="C18" s="13" t="str">
        <x:v>لقطة/مادة بصرية؛ النوع في الوصف</x:v>
      </x:c>
      <x:c r="D18" s="13" t="str">
        <x:v>images.zip</x:v>
      </x:c>
      <x:c r="E18" s="13" t="str">
        <x:v>images/New Images/04_Sphere_Learning_2560x1440.png</x:v>
      </x:c>
      <x:c r="F18" s="13" t="str">
        <x:v>images/New Images/04_Sphere_Learning_2560x1440.png</x:v>
      </x:c>
      <x:c r="G18" s="27" t="n">
        <x:v>2560</x:v>
      </x:c>
      <x:c r="H18" s="27" t="n">
        <x:v>1440</x:v>
      </x:c>
      <x:c r="I18" s="27" t="n">
        <x:v>761548</x:v>
      </x:c>
      <x:c r="J18" s="13" t="str">
        <x:v>PNG</x:v>
      </x:c>
      <x:c r="K18" s="13" t="str">
        <x:v>IMG-L-013</x:v>
      </x:c>
      <x:c r="L18" s="13" t="str"/>
      <x:c r="M18" s="13" t="str">
        <x:v>مرشح للانتقاء مع توثيق المصدر والإصدار</x:v>
      </x:c>
      <x:c r="N18" s="13" t="str">
        <x:v>chapters/chapter-03/index.html#section-3-8؛ evidence/index.html#solids؛ الفصل الثالث: تصميم مختبر المجسمات؛ الفصل الرابع: الواجهات؛ ملحق دليل الطالب</x:v>
      </x:c>
      <x:c r="O18" s="13" t="str">
        <x:v>assets/images/img-l-013.png</x:v>
      </x:c>
      <x:c r="P18" s="13" t="str">
        <x:v>مختبر المجسمات وخصائصها</x:v>
      </x:c>
      <x:c r="Q18" s="13" t="str">
        <x:v>صورة مرئية فقط؛ لا تثبت نتيجة اختبار ولا تطابق النسخة الحالية</x:v>
      </x:c>
      <x:c r="R18" s="39" t="str">
        <x:v>afa575ab262e729ac08c49dea40f41a68a45bd103399f087cf1296c35ada86aa</x:v>
      </x:c>
    </x:row>
    <x:row r="19" ht="36" hidden="0" customHeight="1">
      <x:c r="A19" s="22" t="str">
        <x:v>IMG-L-014</x:v>
      </x:c>
      <x:c r="B19" s="16" t="str">
        <x:v>مختبر المجسمات وخصائصها</x:v>
      </x:c>
      <x:c r="C19" s="16" t="str">
        <x:v>لقطة/مادة بصرية؛ النوع في الوصف</x:v>
      </x:c>
      <x:c r="D19" s="16" t="str">
        <x:v>images.zip</x:v>
      </x:c>
      <x:c r="E19" s="16" t="str">
        <x:v>images/New Images/05_Cylinder_Learning_2560x1440.png</x:v>
      </x:c>
      <x:c r="F19" s="16" t="str">
        <x:v>images/New Images/05_Cylinder_Learning_2560x1440.png</x:v>
      </x:c>
      <x:c r="G19" s="28" t="n">
        <x:v>2560</x:v>
      </x:c>
      <x:c r="H19" s="28" t="n">
        <x:v>1440</x:v>
      </x:c>
      <x:c r="I19" s="28" t="n">
        <x:v>724237</x:v>
      </x:c>
      <x:c r="J19" s="16" t="str">
        <x:v>PNG</x:v>
      </x:c>
      <x:c r="K19" s="16" t="str">
        <x:v>IMG-L-014</x:v>
      </x:c>
      <x:c r="L19" s="16" t="str"/>
      <x:c r="M19" s="16" t="str">
        <x:v>مرشح للانتقاء مع توثيق المصدر والإصدار</x:v>
      </x:c>
      <x:c r="N19" s="16" t="str">
        <x:v>chapters/chapter-03/index.html#section-3-8؛ evidence/index.html#solids؛ الفصل الثالث: تصميم مختبر المجسمات؛ الفصل الرابع: الواجهات؛ ملحق دليل الطالب</x:v>
      </x:c>
      <x:c r="O19" s="16" t="str">
        <x:v>assets/images/img-l-014.png</x:v>
      </x:c>
      <x:c r="P19" s="16" t="str">
        <x:v>مختبر المجسمات وخصائصها</x:v>
      </x:c>
      <x:c r="Q19" s="16" t="str">
        <x:v>صورة مرئية فقط؛ لا تثبت نتيجة اختبار ولا تطابق النسخة الحالية</x:v>
      </x:c>
      <x:c r="R19" s="40" t="str">
        <x:v>0a33a6d8ffd46ce413e8abe734a157d2f802d3a37d2f2e97cadfaf19386a6814</x:v>
      </x:c>
    </x:row>
    <x:row r="20" ht="36" hidden="0" customHeight="1">
      <x:c r="A20" s="21" t="str">
        <x:v>IMG-L-015</x:v>
      </x:c>
      <x:c r="B20" s="13" t="str">
        <x:v>هوية التطبيق وأغلفته</x:v>
      </x:c>
      <x:c r="C20" s="13" t="str">
        <x:v>لقطة/مادة بصرية؛ النوع في الوصف</x:v>
      </x:c>
      <x:c r="D20" s="13" t="str">
        <x:v>images.zip</x:v>
      </x:c>
      <x:c r="E20" s="13" t="str">
        <x:v>images/New Images/06_GeometryVRLab_1254x1254.png</x:v>
      </x:c>
      <x:c r="F20" s="13" t="str">
        <x:v>images/New Images/06_GeometryVRLab_1254x1254.png</x:v>
      </x:c>
      <x:c r="G20" s="27" t="n">
        <x:v>1254</x:v>
      </x:c>
      <x:c r="H20" s="27" t="n">
        <x:v>1254</x:v>
      </x:c>
      <x:c r="I20" s="27" t="n">
        <x:v>1547043</x:v>
      </x:c>
      <x:c r="J20" s="13" t="str">
        <x:v>PNG</x:v>
      </x:c>
      <x:c r="K20" s="13" t="str">
        <x:v>IMG-L-015</x:v>
      </x:c>
      <x:c r="L20" s="13" t="str"/>
      <x:c r="M20" s="13" t="str">
        <x:v>مرشح للانتقاء مع توثيق المصدر والإصدار</x:v>
      </x:c>
      <x:c r="N20" s="13" t="str">
        <x:v>index.html#application؛ الرئيسة/صفحة تعريف التطبيق؛ اعتماد غلاف واحد وأيقونة مناسبة</x:v>
      </x:c>
      <x:c r="O20" s="13" t="str">
        <x:v>assets/images/img-l-015.png</x:v>
      </x:c>
      <x:c r="P20" s="13" t="str">
        <x:v>هوية التطبيق وأغلفته</x:v>
      </x:c>
      <x:c r="Q20" s="13" t="str">
        <x:v>صورة مرئية فقط؛ لا تثبت نتيجة اختبار ولا تطابق النسخة الحالية</x:v>
      </x:c>
      <x:c r="R20" s="39" t="str">
        <x:v>118e462fc5188e9e621eb4ed5fb9989a83b4a9ef9b27bfd8044030ed48dd7a2e</x:v>
      </x:c>
    </x:row>
    <x:row r="21" ht="36" hidden="0" customHeight="1">
      <x:c r="A21" s="22" t="str">
        <x:v>IMG-L-016</x:v>
      </x:c>
      <x:c r="B21" s="16" t="str">
        <x:v>هوية التطبيق وأغلفته</x:v>
      </x:c>
      <x:c r="C21" s="16" t="str">
        <x:v>لقطة/مادة بصرية؛ النوع في الوصف</x:v>
      </x:c>
      <x:c r="D21" s="16" t="str">
        <x:v>images.zip</x:v>
      </x:c>
      <x:c r="E21" s="16" t="str">
        <x:v>images/New Images/07_GeometryVRLab_1050x1498.png</x:v>
      </x:c>
      <x:c r="F21" s="16" t="str">
        <x:v>images/New Images/07_GeometryVRLab_1050x1498.png</x:v>
      </x:c>
      <x:c r="G21" s="28" t="n">
        <x:v>1050</x:v>
      </x:c>
      <x:c r="H21" s="28" t="n">
        <x:v>1498</x:v>
      </x:c>
      <x:c r="I21" s="28" t="n">
        <x:v>1542107</x:v>
      </x:c>
      <x:c r="J21" s="16" t="str">
        <x:v>PNG</x:v>
      </x:c>
      <x:c r="K21" s="16" t="str">
        <x:v>IMG-L-016</x:v>
      </x:c>
      <x:c r="L21" s="16" t="str"/>
      <x:c r="M21" s="16" t="str">
        <x:v>مرشح للانتقاء مع توثيق المصدر والإصدار</x:v>
      </x:c>
      <x:c r="N21" s="16" t="str">
        <x:v>index.html#application؛ الرئيسة/صفحة تعريف التطبيق؛ اعتماد غلاف واحد وأيقونة مناسبة</x:v>
      </x:c>
      <x:c r="O21" s="16" t="str">
        <x:v>assets/images/img-l-016.png</x:v>
      </x:c>
      <x:c r="P21" s="16" t="str">
        <x:v>هوية التطبيق وأغلفته</x:v>
      </x:c>
      <x:c r="Q21" s="16" t="str">
        <x:v>صورة مرئية فقط؛ لا تثبت نتيجة اختبار ولا تطابق النسخة الحالية</x:v>
      </x:c>
      <x:c r="R21" s="40" t="str">
        <x:v>a30dba52136f43992616fe894ef43d68d406e15df0c7cec59613b4b32eb07407</x:v>
      </x:c>
    </x:row>
    <x:row r="22" ht="36" hidden="0" customHeight="1">
      <x:c r="A22" s="21" t="str">
        <x:v>IMG-L-017</x:v>
      </x:c>
      <x:c r="B22" s="13" t="str">
        <x:v>هوية التطبيق وأغلفته</x:v>
      </x:c>
      <x:c r="C22" s="13" t="str">
        <x:v>لقطة/مادة بصرية؛ النوع في الوصف</x:v>
      </x:c>
      <x:c r="D22" s="13" t="str">
        <x:v>images.zip</x:v>
      </x:c>
      <x:c r="E22" s="13" t="str">
        <x:v>images/New Images/08_GeometryVRLab_1254x1254.png</x:v>
      </x:c>
      <x:c r="F22" s="13" t="str">
        <x:v>images/New Images/08_GeometryVRLab_1254x1254.png</x:v>
      </x:c>
      <x:c r="G22" s="27" t="n">
        <x:v>1254</x:v>
      </x:c>
      <x:c r="H22" s="27" t="n">
        <x:v>1254</x:v>
      </x:c>
      <x:c r="I22" s="27" t="n">
        <x:v>1547043</x:v>
      </x:c>
      <x:c r="J22" s="13" t="str">
        <x:v>PNG</x:v>
      </x:c>
      <x:c r="K22" s="13" t="str">
        <x:v>IMG-L-015</x:v>
      </x:c>
      <x:c r="L22" s="13" t="str">
        <x:v>IMG-L-015</x:v>
      </x:c>
      <x:c r="M22" s="13" t="str">
        <x:v>مرشح للانتقاء مع توثيق المصدر والإصدار</x:v>
      </x:c>
      <x:c r="N22" s="13" t="str">
        <x:v>index.html#application؛ الرئيسة/صفحة تعريف التطبيق؛ اعتماد غلاف واحد وأيقونة مناسبة</x:v>
      </x:c>
      <x:c r="O22" s="13" t="str">
        <x:v>assets/images/img-l-015.png</x:v>
      </x:c>
      <x:c r="P22" s="13" t="str">
        <x:v>هوية التطبيق وأغلفته</x:v>
      </x:c>
      <x:c r="Q22" s="13" t="str">
        <x:v>صورة مرئية فقط؛ لا تثبت نتيجة اختبار ولا تطابق النسخة الحالية</x:v>
      </x:c>
      <x:c r="R22" s="39" t="str">
        <x:v>118e462fc5188e9e621eb4ed5fb9989a83b4a9ef9b27bfd8044030ed48dd7a2e</x:v>
      </x:c>
    </x:row>
    <x:row r="23" ht="48" hidden="0" customHeight="1">
      <x:c r="A23" s="22" t="str">
        <x:v>IMG-L-018</x:v>
      </x:c>
      <x:c r="B23" s="16" t="str">
        <x:v>هوية التطبيق وأغلفته</x:v>
      </x:c>
      <x:c r="C23" s="16" t="str">
        <x:v>لقطة/مادة بصرية؛ النوع في الوصف</x:v>
      </x:c>
      <x:c r="D23" s="16" t="str">
        <x:v>images.zip</x:v>
      </x:c>
      <x:c r="E23" s="16" t="str">
        <x:v>images/New Images/GeometryVRLab_Cover_Portrait_1008x1440.png</x:v>
      </x:c>
      <x:c r="F23" s="16" t="str">
        <x:v>images/New Images/GeometryVRLab_Cover_Portrait_1008x1440.png</x:v>
      </x:c>
      <x:c r="G23" s="28" t="n">
        <x:v>1008</x:v>
      </x:c>
      <x:c r="H23" s="28" t="n">
        <x:v>1440</x:v>
      </x:c>
      <x:c r="I23" s="28" t="n">
        <x:v>1397950</x:v>
      </x:c>
      <x:c r="J23" s="16" t="str">
        <x:v>PNG</x:v>
      </x:c>
      <x:c r="K23" s="16" t="str">
        <x:v>IMG-L-018</x:v>
      </x:c>
      <x:c r="L23" s="16" t="str"/>
      <x:c r="M23" s="16" t="str">
        <x:v>مرشح للانتقاء مع توثيق المصدر والإصدار</x:v>
      </x:c>
      <x:c r="N23" s="16" t="str">
        <x:v>index.html#application؛ الرئيسة/صفحة تعريف التطبيق؛ اعتماد غلاف واحد وأيقونة مناسبة</x:v>
      </x:c>
      <x:c r="O23" s="16" t="str">
        <x:v>assets/images/img-l-018.png</x:v>
      </x:c>
      <x:c r="P23" s="16" t="str">
        <x:v>هوية التطبيق وأغلفته</x:v>
      </x:c>
      <x:c r="Q23" s="16" t="str">
        <x:v>صورة مرئية فقط؛ لا تثبت نتيجة اختبار ولا تطابق النسخة الحالية</x:v>
      </x:c>
      <x:c r="R23" s="40" t="str">
        <x:v>8b9390dc58ed44ee49a5c7c2aec79ee50394dbe6a0b12a835a89980456bc96ba</x:v>
      </x:c>
    </x:row>
    <x:row r="24" ht="48" hidden="0" customHeight="1">
      <x:c r="A24" s="21" t="str">
        <x:v>IMG-L-019</x:v>
      </x:c>
      <x:c r="B24" s="13" t="str">
        <x:v>هوية التطبيق وأغلفته</x:v>
      </x:c>
      <x:c r="C24" s="13" t="str">
        <x:v>لقطة/مادة بصرية؛ النوع في الوصف</x:v>
      </x:c>
      <x:c r="D24" s="13" t="str">
        <x:v>images.zip</x:v>
      </x:c>
      <x:c r="E24" s="13" t="str">
        <x:v>images/New Images/GeometryVRLab_Cover_Square_1440x1440.png</x:v>
      </x:c>
      <x:c r="F24" s="13" t="str">
        <x:v>images/New Images/GeometryVRLab_Cover_Square_1440x1440.png</x:v>
      </x:c>
      <x:c r="G24" s="27" t="n">
        <x:v>1440</x:v>
      </x:c>
      <x:c r="H24" s="27" t="n">
        <x:v>1440</x:v>
      </x:c>
      <x:c r="I24" s="27" t="n">
        <x:v>1631284</x:v>
      </x:c>
      <x:c r="J24" s="13" t="str">
        <x:v>PNG</x:v>
      </x:c>
      <x:c r="K24" s="13" t="str">
        <x:v>IMG-L-019</x:v>
      </x:c>
      <x:c r="L24" s="13" t="str"/>
      <x:c r="M24" s="13" t="str">
        <x:v>مرشح للانتقاء مع توثيق المصدر والإصدار</x:v>
      </x:c>
      <x:c r="N24" s="13" t="str">
        <x:v>index.html#application؛ الرئيسة/صفحة تعريف التطبيق؛ اعتماد غلاف واحد وأيقونة مناسبة</x:v>
      </x:c>
      <x:c r="O24" s="13" t="str">
        <x:v>assets/images/img-l-019.png</x:v>
      </x:c>
      <x:c r="P24" s="13" t="str">
        <x:v>هوية التطبيق وأغلفته</x:v>
      </x:c>
      <x:c r="Q24" s="13" t="str">
        <x:v>صورة مرئية فقط؛ لا تثبت نتيجة اختبار ولا تطابق النسخة الحالية</x:v>
      </x:c>
      <x:c r="R24" s="39" t="str">
        <x:v>f64595addba38349929033905d062c1b142671d7349375e97f49ab82a94d8dbf</x:v>
      </x:c>
    </x:row>
    <x:row r="25" ht="36" hidden="0" customHeight="1">
      <x:c r="A25" s="22" t="str">
        <x:v>IMG-L-020</x:v>
      </x:c>
      <x:c r="B25" s="16" t="str">
        <x:v>شاشات الفيديو التعليمية داخل المختبر</x:v>
      </x:c>
      <x:c r="C25" s="16" t="str">
        <x:v>لقطة/مادة بصرية؛ النوع في الوصف</x:v>
      </x:c>
      <x:c r="D25" s="16" t="str">
        <x:v>images.zip</x:v>
      </x:c>
      <x:c r="E25" s="16" t="str">
        <x:v>images/WhatsApp Image 2026-07-23 at 22.08.50.jpeg</x:v>
      </x:c>
      <x:c r="F25" s="16" t="str">
        <x:v>images/WhatsApp Image 2026-07-23 at 22.08.50.jpeg</x:v>
      </x:c>
      <x:c r="G25" s="28" t="n">
        <x:v>1600</x:v>
      </x:c>
      <x:c r="H25" s="28" t="n">
        <x:v>900</x:v>
      </x:c>
      <x:c r="I25" s="28" t="n">
        <x:v>79853</x:v>
      </x:c>
      <x:c r="J25" s="16" t="str">
        <x:v>JPEG</x:v>
      </x:c>
      <x:c r="K25" s="16" t="str">
        <x:v>IMG-L-020</x:v>
      </x:c>
      <x:c r="L25" s="16" t="str"/>
      <x:c r="M25" s="16" t="str">
        <x:v>مرشح للانتقاء مع توثيق المصدر والإصدار</x:v>
      </x:c>
      <x:c r="N25" s="16" t="str">
        <x:v>chapters/chapter-03/index.html#section-3-8؛ evidence/index.html#solids؛ الفصل الثالث: الوسائط التعليمية؛ الفصل الرابع: الواجهات؛ ملحق دليل الاستخدام</x:v>
      </x:c>
      <x:c r="O25" s="16" t="str">
        <x:v>assets/images/img-l-020.jpeg</x:v>
      </x:c>
      <x:c r="P25" s="16" t="str">
        <x:v>شاشات الفيديو التعليمية داخل المختبر</x:v>
      </x:c>
      <x:c r="Q25" s="16" t="str">
        <x:v>صورة مرئية فقط؛ لا تثبت نتيجة اختبار ولا تطابق النسخة الحالية</x:v>
      </x:c>
      <x:c r="R25" s="40" t="str">
        <x:v>b230a3c269ae22722d126c39259fbae95b3bbe85bea82d363edfc9909da68541</x:v>
      </x:c>
    </x:row>
    <x:row r="26" ht="36" hidden="0" customHeight="1">
      <x:c r="A26" s="21" t="str">
        <x:v>IMG-L-021</x:v>
      </x:c>
      <x:c r="B26" s="13" t="str">
        <x:v>شاشات الفيديو التعليمية داخل المختبر</x:v>
      </x:c>
      <x:c r="C26" s="13" t="str">
        <x:v>لقطة/مادة بصرية؛ النوع في الوصف</x:v>
      </x:c>
      <x:c r="D26" s="13" t="str">
        <x:v>images.zip</x:v>
      </x:c>
      <x:c r="E26" s="13" t="str">
        <x:v>images/WhatsApp Image 2026-07-23 at 22.09.24.jpeg</x:v>
      </x:c>
      <x:c r="F26" s="13" t="str">
        <x:v>images/WhatsApp Image 2026-07-23 at 22.09.24.jpeg</x:v>
      </x:c>
      <x:c r="G26" s="27" t="n">
        <x:v>1600</x:v>
      </x:c>
      <x:c r="H26" s="27" t="n">
        <x:v>900</x:v>
      </x:c>
      <x:c r="I26" s="27" t="n">
        <x:v>86480</x:v>
      </x:c>
      <x:c r="J26" s="13" t="str">
        <x:v>JPEG</x:v>
      </x:c>
      <x:c r="K26" s="13" t="str">
        <x:v>IMG-L-021</x:v>
      </x:c>
      <x:c r="L26" s="13" t="str"/>
      <x:c r="M26" s="13" t="str">
        <x:v>مرشح للانتقاء مع توثيق المصدر والإصدار</x:v>
      </x:c>
      <x:c r="N26" s="13" t="str">
        <x:v>chapters/chapter-03/index.html#section-3-8؛ evidence/index.html#solids؛ الفصل الثالث: الوسائط التعليمية؛ الفصل الرابع: الواجهات؛ ملحق دليل الاستخدام</x:v>
      </x:c>
      <x:c r="O26" s="13" t="str">
        <x:v>assets/images/img-l-021.jpeg</x:v>
      </x:c>
      <x:c r="P26" s="13" t="str">
        <x:v>شاشات الفيديو التعليمية داخل المختبر</x:v>
      </x:c>
      <x:c r="Q26" s="13" t="str">
        <x:v>صورة مرئية فقط؛ لا تثبت نتيجة اختبار ولا تطابق النسخة الحالية</x:v>
      </x:c>
      <x:c r="R26" s="39" t="str">
        <x:v>dd1a47967b709f9d166a586b8d9bc4ced97abbc262bb0561a252be79e0e4f865</x:v>
      </x:c>
    </x:row>
    <x:row r="27" ht="36" hidden="0" customHeight="1">
      <x:c r="A27" s="22" t="str">
        <x:v>IMG-L-022</x:v>
      </x:c>
      <x:c r="B27" s="16" t="str">
        <x:v>شاشات الفيديو التعليمية داخل المختبر</x:v>
      </x:c>
      <x:c r="C27" s="16" t="str">
        <x:v>لقطة/مادة بصرية؛ النوع في الوصف</x:v>
      </x:c>
      <x:c r="D27" s="16" t="str">
        <x:v>images.zip</x:v>
      </x:c>
      <x:c r="E27" s="16" t="str">
        <x:v>images/WhatsApp Image 2026-07-23 at 22.09.37.jpeg</x:v>
      </x:c>
      <x:c r="F27" s="16" t="str">
        <x:v>images/WhatsApp Image 2026-07-23 at 22.09.37.jpeg</x:v>
      </x:c>
      <x:c r="G27" s="28" t="n">
        <x:v>1600</x:v>
      </x:c>
      <x:c r="H27" s="28" t="n">
        <x:v>900</x:v>
      </x:c>
      <x:c r="I27" s="28" t="n">
        <x:v>81096</x:v>
      </x:c>
      <x:c r="J27" s="16" t="str">
        <x:v>JPEG</x:v>
      </x:c>
      <x:c r="K27" s="16" t="str">
        <x:v>IMG-L-022</x:v>
      </x:c>
      <x:c r="L27" s="16" t="str"/>
      <x:c r="M27" s="16" t="str">
        <x:v>مرشح للانتقاء مع توثيق المصدر والإصدار</x:v>
      </x:c>
      <x:c r="N27" s="16" t="str">
        <x:v>chapters/chapter-03/index.html#section-3-8؛ evidence/index.html#solids؛ الفصل الثالث: الوسائط التعليمية؛ الفصل الرابع: الواجهات؛ ملحق دليل الاستخدام</x:v>
      </x:c>
      <x:c r="O27" s="16" t="str">
        <x:v>assets/images/img-l-022.jpeg</x:v>
      </x:c>
      <x:c r="P27" s="16" t="str">
        <x:v>شاشات الفيديو التعليمية داخل المختبر</x:v>
      </x:c>
      <x:c r="Q27" s="16" t="str">
        <x:v>صورة مرئية فقط؛ لا تثبت نتيجة اختبار ولا تطابق النسخة الحالية</x:v>
      </x:c>
      <x:c r="R27" s="40" t="str">
        <x:v>a19436d9cb6057e9144c1e8dce790a9a47c577a66cedd8e40c677741622b70b4</x:v>
      </x:c>
    </x:row>
    <x:row r="28" ht="36" hidden="0" customHeight="1">
      <x:c r="A28" s="21" t="str">
        <x:v>IMG-L-023</x:v>
      </x:c>
      <x:c r="B28" s="13" t="str">
        <x:v>شاشات الفيديو التعليمية داخل المختبر</x:v>
      </x:c>
      <x:c r="C28" s="13" t="str">
        <x:v>لقطة/مادة بصرية؛ النوع في الوصف</x:v>
      </x:c>
      <x:c r="D28" s="13" t="str">
        <x:v>images.zip</x:v>
      </x:c>
      <x:c r="E28" s="13" t="str">
        <x:v>images/WhatsApp Image 2026-07-23 at 22.10.11.jpeg</x:v>
      </x:c>
      <x:c r="F28" s="13" t="str">
        <x:v>images/WhatsApp Image 2026-07-23 at 22.10.11.jpeg</x:v>
      </x:c>
      <x:c r="G28" s="27" t="n">
        <x:v>1600</x:v>
      </x:c>
      <x:c r="H28" s="27" t="n">
        <x:v>900</x:v>
      </x:c>
      <x:c r="I28" s="27" t="n">
        <x:v>81096</x:v>
      </x:c>
      <x:c r="J28" s="13" t="str">
        <x:v>JPEG</x:v>
      </x:c>
      <x:c r="K28" s="13" t="str">
        <x:v>IMG-L-022</x:v>
      </x:c>
      <x:c r="L28" s="13" t="str">
        <x:v>IMG-L-022</x:v>
      </x:c>
      <x:c r="M28" s="13" t="str">
        <x:v>مرشح للانتقاء مع توثيق المصدر والإصدار</x:v>
      </x:c>
      <x:c r="N28" s="13" t="str">
        <x:v>chapters/chapter-03/index.html#section-3-8؛ evidence/index.html#solids؛ الفصل الثالث: الوسائط التعليمية؛ الفصل الرابع: الواجهات؛ ملحق دليل الاستخدام</x:v>
      </x:c>
      <x:c r="O28" s="13" t="str">
        <x:v>assets/images/img-l-022.jpeg</x:v>
      </x:c>
      <x:c r="P28" s="13" t="str">
        <x:v>شاشات الفيديو التعليمية داخل المختبر</x:v>
      </x:c>
      <x:c r="Q28" s="13" t="str">
        <x:v>صورة مرئية فقط؛ لا تثبت نتيجة اختبار ولا تطابق النسخة الحالية</x:v>
      </x:c>
      <x:c r="R28" s="39" t="str">
        <x:v>a19436d9cb6057e9144c1e8dce790a9a47c577a66cedd8e40c677741622b70b4</x:v>
      </x:c>
    </x:row>
    <x:row r="29" ht="36" hidden="0" customHeight="1">
      <x:c r="A29" s="22" t="str">
        <x:v>IMG-L-024</x:v>
      </x:c>
      <x:c r="B29" s="16" t="str">
        <x:v>مختبر المجسمات وخصائصها</x:v>
      </x:c>
      <x:c r="C29" s="16" t="str">
        <x:v>لقطة/مادة بصرية؛ النوع في الوصف</x:v>
      </x:c>
      <x:c r="D29" s="16" t="str">
        <x:v>images.zip</x:v>
      </x:c>
      <x:c r="E29" s="16" t="str">
        <x:v>images/WhatsApp Image 2026-07-23 at 22.10.24.jpeg</x:v>
      </x:c>
      <x:c r="F29" s="16" t="str">
        <x:v>images/WhatsApp Image 2026-07-23 at 22.10.24.jpeg</x:v>
      </x:c>
      <x:c r="G29" s="28" t="n">
        <x:v>1600</x:v>
      </x:c>
      <x:c r="H29" s="28" t="n">
        <x:v>900</x:v>
      </x:c>
      <x:c r="I29" s="28" t="n">
        <x:v>45706</x:v>
      </x:c>
      <x:c r="J29" s="16" t="str">
        <x:v>JPEG</x:v>
      </x:c>
      <x:c r="K29" s="16" t="str">
        <x:v>IMG-L-024</x:v>
      </x:c>
      <x:c r="L29" s="16" t="str"/>
      <x:c r="M29" s="16" t="str">
        <x:v>مرشح للانتقاء مع توثيق المصدر والإصدار</x:v>
      </x:c>
      <x:c r="N29" s="16" t="str">
        <x:v>chapters/chapter-03/index.html#section-3-8؛ evidence/index.html#solids؛ الفصل الثالث: تصميم مختبر المجسمات؛ الفصل الرابع: الواجهات؛ ملحق دليل الطالب</x:v>
      </x:c>
      <x:c r="O29" s="16" t="str">
        <x:v>assets/images/img-l-024.jpeg</x:v>
      </x:c>
      <x:c r="P29" s="16" t="str">
        <x:v>مختبر المجسمات وخصائصها</x:v>
      </x:c>
      <x:c r="Q29" s="16" t="str">
        <x:v>صورة مرئية فقط؛ لا تثبت نتيجة اختبار ولا تطابق النسخة الحالية</x:v>
      </x:c>
      <x:c r="R29" s="40" t="str">
        <x:v>0dcdcd196308b3eb4276d1092c1192ff1e1a2d2c82dfdda3aa13e205a120108d</x:v>
      </x:c>
    </x:row>
    <x:row r="30" ht="36" hidden="0" customHeight="1">
      <x:c r="A30" s="21" t="str">
        <x:v>IMG-L-025</x:v>
      </x:c>
      <x:c r="B30" s="13" t="str">
        <x:v>مختبر المجسمات وخصائصها</x:v>
      </x:c>
      <x:c r="C30" s="13" t="str">
        <x:v>لقطة/مادة بصرية؛ النوع في الوصف</x:v>
      </x:c>
      <x:c r="D30" s="13" t="str">
        <x:v>images.zip</x:v>
      </x:c>
      <x:c r="E30" s="13" t="str">
        <x:v>images/WhatsApp Image 2026-07-23 at 22.10.37.jpeg</x:v>
      </x:c>
      <x:c r="F30" s="13" t="str">
        <x:v>images/WhatsApp Image 2026-07-23 at 22.10.37.jpeg</x:v>
      </x:c>
      <x:c r="G30" s="27" t="n">
        <x:v>1600</x:v>
      </x:c>
      <x:c r="H30" s="27" t="n">
        <x:v>900</x:v>
      </x:c>
      <x:c r="I30" s="27" t="n">
        <x:v>45750</x:v>
      </x:c>
      <x:c r="J30" s="13" t="str">
        <x:v>JPEG</x:v>
      </x:c>
      <x:c r="K30" s="13" t="str">
        <x:v>IMG-L-025</x:v>
      </x:c>
      <x:c r="L30" s="13" t="str"/>
      <x:c r="M30" s="13" t="str">
        <x:v>مرشح للانتقاء مع توثيق المصدر والإصدار</x:v>
      </x:c>
      <x:c r="N30" s="13" t="str">
        <x:v>chapters/chapter-03/index.html#section-3-8؛ evidence/index.html#solids؛ الفصل الثالث: تصميم مختبر المجسمات؛ الفصل الرابع: الواجهات؛ ملحق دليل الطالب</x:v>
      </x:c>
      <x:c r="O30" s="13" t="str">
        <x:v>assets/images/img-l-025.jpeg</x:v>
      </x:c>
      <x:c r="P30" s="13" t="str">
        <x:v>مختبر المجسمات وخصائصها</x:v>
      </x:c>
      <x:c r="Q30" s="13" t="str">
        <x:v>صورة مرئية فقط؛ لا تثبت نتيجة اختبار ولا تطابق النسخة الحالية</x:v>
      </x:c>
      <x:c r="R30" s="39" t="str">
        <x:v>c97fb5c95edb26cbe2c676f059944f2b09af1de3015510bd49b1b4ce3efc0c2b</x:v>
      </x:c>
    </x:row>
    <x:row r="31" ht="36" hidden="0" customHeight="1">
      <x:c r="A31" s="22" t="str">
        <x:v>IMG-L-026</x:v>
      </x:c>
      <x:c r="B31" s="16" t="str">
        <x:v>مختبر المجسمات وخصائصها</x:v>
      </x:c>
      <x:c r="C31" s="16" t="str">
        <x:v>لقطة/مادة بصرية؛ النوع في الوصف</x:v>
      </x:c>
      <x:c r="D31" s="16" t="str">
        <x:v>images.zip</x:v>
      </x:c>
      <x:c r="E31" s="16" t="str">
        <x:v>images/WhatsApp Image 2026-07-23 at 22.10.47.jpeg</x:v>
      </x:c>
      <x:c r="F31" s="16" t="str">
        <x:v>images/WhatsApp Image 2026-07-23 at 22.10.47.jpeg</x:v>
      </x:c>
      <x:c r="G31" s="28" t="n">
        <x:v>1600</x:v>
      </x:c>
      <x:c r="H31" s="28" t="n">
        <x:v>900</x:v>
      </x:c>
      <x:c r="I31" s="28" t="n">
        <x:v>46703</x:v>
      </x:c>
      <x:c r="J31" s="16" t="str">
        <x:v>JPEG</x:v>
      </x:c>
      <x:c r="K31" s="16" t="str">
        <x:v>IMG-L-026</x:v>
      </x:c>
      <x:c r="L31" s="16" t="str"/>
      <x:c r="M31" s="16" t="str">
        <x:v>مرشح للانتقاء مع توثيق المصدر والإصدار</x:v>
      </x:c>
      <x:c r="N31" s="16" t="str">
        <x:v>chapters/chapter-03/index.html#section-3-8؛ evidence/index.html#solids؛ الفصل الثالث: تصميم مختبر المجسمات؛ الفصل الرابع: الواجهات؛ ملحق دليل الطالب</x:v>
      </x:c>
      <x:c r="O31" s="16" t="str">
        <x:v>assets/images/img-l-026.jpeg</x:v>
      </x:c>
      <x:c r="P31" s="16" t="str">
        <x:v>مختبر المجسمات وخصائصها</x:v>
      </x:c>
      <x:c r="Q31" s="16" t="str">
        <x:v>صورة مرئية فقط؛ لا تثبت نتيجة اختبار ولا تطابق النسخة الحالية</x:v>
      </x:c>
      <x:c r="R31" s="40" t="str">
        <x:v>d529131497d1cf169692d97a944b5053a12d706f1fccc19680fce22793b28a87</x:v>
      </x:c>
    </x:row>
    <x:row r="32" ht="36" hidden="0" customHeight="1">
      <x:c r="A32" s="21" t="str">
        <x:v>IMG-L-027</x:v>
      </x:c>
      <x:c r="B32" s="13" t="str">
        <x:v>التفاعل والإمساك بالمجسمات داخل المختبر</x:v>
      </x:c>
      <x:c r="C32" s="13" t="str">
        <x:v>لقطة/مادة بصرية؛ النوع في الوصف</x:v>
      </x:c>
      <x:c r="D32" s="13" t="str">
        <x:v>images.zip</x:v>
      </x:c>
      <x:c r="E32" s="13" t="str">
        <x:v>images/WhatsApp Image 2026-07-23 at 23.55.23.jpeg</x:v>
      </x:c>
      <x:c r="F32" s="13" t="str">
        <x:v>images/WhatsApp Image 2026-07-23 at 23.55.23.jpeg</x:v>
      </x:c>
      <x:c r="G32" s="27" t="n">
        <x:v>1707</x:v>
      </x:c>
      <x:c r="H32" s="27" t="n">
        <x:v>960</x:v>
      </x:c>
      <x:c r="I32" s="27" t="n">
        <x:v>48635</x:v>
      </x:c>
      <x:c r="J32" s="13" t="str">
        <x:v>JPEG</x:v>
      </x:c>
      <x:c r="K32" s="13" t="str">
        <x:v>IMG-L-027</x:v>
      </x:c>
      <x:c r="L32" s="13" t="str"/>
      <x:c r="M32" s="13" t="str">
        <x:v>مرشح للانتقاء مع توثيق المصدر والإصدار</x:v>
      </x:c>
      <x:c r="N32" s="13" t="str">
        <x:v>chapters/chapter-03/index.html#section-3-9-1؛ development/index.html#before-merge؛ الفصل الثالث: آلية التفاعل؛ الفصل الرابع: عرض الوظائف؛ ملحق دليل الطالب</x:v>
      </x:c>
      <x:c r="O32" s="13" t="str">
        <x:v>assets/images/img-l-027.jpeg</x:v>
      </x:c>
      <x:c r="P32" s="13" t="str">
        <x:v>التفاعل والإمساك بالمجسمات داخل المختبر</x:v>
      </x:c>
      <x:c r="Q32" s="13" t="str">
        <x:v>صورة مرئية فقط؛ لا تثبت نتيجة اختبار ولا تطابق النسخة الحالية</x:v>
      </x:c>
      <x:c r="R32" s="39" t="str">
        <x:v>61456fd5fe6427a031298197fb599db5627adc3c37dbeb0370d2683bfd738d5b</x:v>
      </x:c>
    </x:row>
    <x:row r="33" ht="36" hidden="0" customHeight="1">
      <x:c r="A33" s="22" t="str">
        <x:v>IMG-L-028</x:v>
      </x:c>
      <x:c r="B33" s="16" t="str">
        <x:v>التفاعل والإمساك بالمجسمات داخل المختبر</x:v>
      </x:c>
      <x:c r="C33" s="16" t="str">
        <x:v>لقطة/مادة بصرية؛ النوع في الوصف</x:v>
      </x:c>
      <x:c r="D33" s="16" t="str">
        <x:v>images.zip</x:v>
      </x:c>
      <x:c r="E33" s="16" t="str">
        <x:v>images/WhatsApp Image 2026-07-23 at 23.55.38.jpeg</x:v>
      </x:c>
      <x:c r="F33" s="16" t="str">
        <x:v>images/WhatsApp Image 2026-07-23 at 23.55.38.jpeg</x:v>
      </x:c>
      <x:c r="G33" s="28" t="n">
        <x:v>1707</x:v>
      </x:c>
      <x:c r="H33" s="28" t="n">
        <x:v>960</x:v>
      </x:c>
      <x:c r="I33" s="28" t="n">
        <x:v>47417</x:v>
      </x:c>
      <x:c r="J33" s="16" t="str">
        <x:v>JPEG</x:v>
      </x:c>
      <x:c r="K33" s="16" t="str">
        <x:v>IMG-L-028</x:v>
      </x:c>
      <x:c r="L33" s="16" t="str"/>
      <x:c r="M33" s="16" t="str">
        <x:v>مرشح للانتقاء مع توثيق المصدر والإصدار</x:v>
      </x:c>
      <x:c r="N33" s="16" t="str">
        <x:v>chapters/chapter-03/index.html#section-3-9-1؛ development/index.html#before-merge؛ الفصل الثالث: آلية التفاعل؛ الفصل الرابع: عرض الوظائف؛ ملحق دليل الطالب</x:v>
      </x:c>
      <x:c r="O33" s="16" t="str">
        <x:v>assets/images/img-l-028.jpeg</x:v>
      </x:c>
      <x:c r="P33" s="16" t="str">
        <x:v>التفاعل والإمساك بالمجسمات داخل المختبر</x:v>
      </x:c>
      <x:c r="Q33" s="16" t="str">
        <x:v>صورة مرئية فقط؛ لا تثبت نتيجة اختبار ولا تطابق النسخة الحالية</x:v>
      </x:c>
      <x:c r="R33" s="40" t="str">
        <x:v>479a5f9cbb617543ae04d56951573078a06cc48125b42f270ad3f2cbf05c3513</x:v>
      </x:c>
    </x:row>
    <x:row r="34" ht="36" hidden="0" customHeight="1">
      <x:c r="A34" s="21" t="str">
        <x:v>IMG-L-029</x:v>
      </x:c>
      <x:c r="B34" s="13" t="str">
        <x:v>التفاعل والإمساك بالمجسمات داخل المختبر</x:v>
      </x:c>
      <x:c r="C34" s="13" t="str">
        <x:v>لقطة/مادة بصرية؛ النوع في الوصف</x:v>
      </x:c>
      <x:c r="D34" s="13" t="str">
        <x:v>images.zip</x:v>
      </x:c>
      <x:c r="E34" s="13" t="str">
        <x:v>images/WhatsApp Image 2026-07-23 at 23.55.50.jpeg</x:v>
      </x:c>
      <x:c r="F34" s="13" t="str">
        <x:v>images/WhatsApp Image 2026-07-23 at 23.55.50.jpeg</x:v>
      </x:c>
      <x:c r="G34" s="27" t="n">
        <x:v>1707</x:v>
      </x:c>
      <x:c r="H34" s="27" t="n">
        <x:v>960</x:v>
      </x:c>
      <x:c r="I34" s="27" t="n">
        <x:v>46854</x:v>
      </x:c>
      <x:c r="J34" s="13" t="str">
        <x:v>JPEG</x:v>
      </x:c>
      <x:c r="K34" s="13" t="str">
        <x:v>IMG-L-029</x:v>
      </x:c>
      <x:c r="L34" s="13" t="str"/>
      <x:c r="M34" s="13" t="str">
        <x:v>مرشح للانتقاء مع توثيق المصدر والإصدار</x:v>
      </x:c>
      <x:c r="N34" s="13" t="str">
        <x:v>chapters/chapter-03/index.html#section-3-9-1؛ development/index.html#before-merge؛ الفصل الثالث: آلية التفاعل؛ الفصل الرابع: عرض الوظائف؛ ملحق دليل الطالب</x:v>
      </x:c>
      <x:c r="O34" s="13" t="str">
        <x:v>assets/images/img-l-029.jpeg</x:v>
      </x:c>
      <x:c r="P34" s="13" t="str">
        <x:v>التفاعل والإمساك بالمجسمات داخل المختبر</x:v>
      </x:c>
      <x:c r="Q34" s="13" t="str">
        <x:v>صورة مرئية فقط؛ لا تثبت نتيجة اختبار ولا تطابق النسخة الحالية</x:v>
      </x:c>
      <x:c r="R34" s="39" t="str">
        <x:v>4c2177353d60c934c03518d20e2f118a57f6b5a3e8bdbaba41cf631ebe244cba</x:v>
      </x:c>
    </x:row>
    <x:row r="35" ht="36" hidden="0" customHeight="1">
      <x:c r="A35" s="22" t="str">
        <x:v>IMG-L-030</x:v>
      </x:c>
      <x:c r="B35" s="16" t="str">
        <x:v>التفاعل والإمساك بالمجسمات داخل المختبر</x:v>
      </x:c>
      <x:c r="C35" s="16" t="str">
        <x:v>لقطة/مادة بصرية؛ النوع في الوصف</x:v>
      </x:c>
      <x:c r="D35" s="16" t="str">
        <x:v>images.zip</x:v>
      </x:c>
      <x:c r="E35" s="16" t="str">
        <x:v>images/WhatsApp Image 2026-07-23 at 23.56.11.jpeg</x:v>
      </x:c>
      <x:c r="F35" s="16" t="str">
        <x:v>images/WhatsApp Image 2026-07-23 at 23.56.11.jpeg</x:v>
      </x:c>
      <x:c r="G35" s="28" t="n">
        <x:v>1707</x:v>
      </x:c>
      <x:c r="H35" s="28" t="n">
        <x:v>960</x:v>
      </x:c>
      <x:c r="I35" s="28" t="n">
        <x:v>80904</x:v>
      </x:c>
      <x:c r="J35" s="16" t="str">
        <x:v>JPEG</x:v>
      </x:c>
      <x:c r="K35" s="16" t="str">
        <x:v>IMG-L-030</x:v>
      </x:c>
      <x:c r="L35" s="16" t="str"/>
      <x:c r="M35" s="16" t="str">
        <x:v>مرشح للانتقاء مع توثيق المصدر والإصدار</x:v>
      </x:c>
      <x:c r="N35" s="16" t="str">
        <x:v>chapters/chapter-03/index.html#section-3-9-1؛ development/index.html#before-merge؛ الفصل الثالث: آلية التفاعل؛ الفصل الرابع: عرض الوظائف؛ ملحق دليل الطالب</x:v>
      </x:c>
      <x:c r="O35" s="16" t="str">
        <x:v>assets/images/img-l-030.jpeg</x:v>
      </x:c>
      <x:c r="P35" s="16" t="str">
        <x:v>التفاعل والإمساك بالمجسمات داخل المختبر</x:v>
      </x:c>
      <x:c r="Q35" s="16" t="str">
        <x:v>صورة مرئية فقط؛ لا تثبت نتيجة اختبار ولا تطابق النسخة الحالية</x:v>
      </x:c>
      <x:c r="R35" s="40" t="str">
        <x:v>cdae4cc21cf2fd55465aad3fe8382c5484923c8c17b904d41428dd6940cbd0ac</x:v>
      </x:c>
    </x:row>
    <x:row r="36" ht="36" hidden="0" customHeight="1">
      <x:c r="A36" s="21" t="str">
        <x:v>IMG-L-031</x:v>
      </x:c>
      <x:c r="B36" s="13" t="str">
        <x:v>التفاعل والإمساك بالمجسمات داخل المختبر</x:v>
      </x:c>
      <x:c r="C36" s="13" t="str">
        <x:v>لقطة/مادة بصرية؛ النوع في الوصف</x:v>
      </x:c>
      <x:c r="D36" s="13" t="str">
        <x:v>images.zip</x:v>
      </x:c>
      <x:c r="E36" s="13" t="str">
        <x:v>images/WhatsApp Image 2026-07-23 at 23.56.24.jpeg</x:v>
      </x:c>
      <x:c r="F36" s="13" t="str">
        <x:v>images/WhatsApp Image 2026-07-23 at 23.56.24.jpeg</x:v>
      </x:c>
      <x:c r="G36" s="27" t="n">
        <x:v>1707</x:v>
      </x:c>
      <x:c r="H36" s="27" t="n">
        <x:v>960</x:v>
      </x:c>
      <x:c r="I36" s="27" t="n">
        <x:v>82336</x:v>
      </x:c>
      <x:c r="J36" s="13" t="str">
        <x:v>JPEG</x:v>
      </x:c>
      <x:c r="K36" s="13" t="str">
        <x:v>IMG-L-031</x:v>
      </x:c>
      <x:c r="L36" s="13" t="str"/>
      <x:c r="M36" s="13" t="str">
        <x:v>مرشح للانتقاء مع توثيق المصدر والإصدار</x:v>
      </x:c>
      <x:c r="N36" s="13" t="str">
        <x:v>chapters/chapter-03/index.html#section-3-9-1؛ development/index.html#before-merge؛ الفصل الثالث: آلية التفاعل؛ الفصل الرابع: عرض الوظائف؛ ملحق دليل الطالب</x:v>
      </x:c>
      <x:c r="O36" s="13" t="str">
        <x:v>assets/images/img-l-031.jpeg</x:v>
      </x:c>
      <x:c r="P36" s="13" t="str">
        <x:v>التفاعل والإمساك بالمجسمات داخل المختبر</x:v>
      </x:c>
      <x:c r="Q36" s="13" t="str">
        <x:v>صورة مرئية فقط؛ لا تثبت نتيجة اختبار ولا تطابق النسخة الحالية</x:v>
      </x:c>
      <x:c r="R36" s="39" t="str">
        <x:v>b8e5d3aa9978bcc9927feba0b59dd2c7f0c1b0670e778cec4abd6d8dd6019eba</x:v>
      </x:c>
    </x:row>
    <x:row r="37" ht="36" hidden="0" customHeight="1">
      <x:c r="A37" s="22" t="str">
        <x:v>IMG-L-032</x:v>
      </x:c>
      <x:c r="B37" s="16" t="str">
        <x:v>التفاعل والإمساك بالمجسمات داخل المختبر</x:v>
      </x:c>
      <x:c r="C37" s="16" t="str">
        <x:v>لقطة/مادة بصرية؛ النوع في الوصف</x:v>
      </x:c>
      <x:c r="D37" s="16" t="str">
        <x:v>images.zip</x:v>
      </x:c>
      <x:c r="E37" s="16" t="str">
        <x:v>images/WhatsApp Image 2026-07-23 at 23.56.38.jpeg</x:v>
      </x:c>
      <x:c r="F37" s="16" t="str">
        <x:v>images/WhatsApp Image 2026-07-23 at 23.56.38.jpeg</x:v>
      </x:c>
      <x:c r="G37" s="28" t="n">
        <x:v>1707</x:v>
      </x:c>
      <x:c r="H37" s="28" t="n">
        <x:v>960</x:v>
      </x:c>
      <x:c r="I37" s="28" t="n">
        <x:v>81827</x:v>
      </x:c>
      <x:c r="J37" s="16" t="str">
        <x:v>JPEG</x:v>
      </x:c>
      <x:c r="K37" s="16" t="str">
        <x:v>IMG-L-032</x:v>
      </x:c>
      <x:c r="L37" s="16" t="str"/>
      <x:c r="M37" s="16" t="str">
        <x:v>مرشح للانتقاء مع توثيق المصدر والإصدار</x:v>
      </x:c>
      <x:c r="N37" s="16" t="str">
        <x:v>chapters/chapter-03/index.html#section-3-9-1؛ development/index.html#before-merge؛ الفصل الثالث: آلية التفاعل؛ الفصل الرابع: عرض الوظائف؛ ملحق دليل الطالب</x:v>
      </x:c>
      <x:c r="O37" s="16" t="str">
        <x:v>assets/images/img-l-032.jpeg</x:v>
      </x:c>
      <x:c r="P37" s="16" t="str">
        <x:v>التفاعل والإمساك بالمجسمات داخل المختبر</x:v>
      </x:c>
      <x:c r="Q37" s="16" t="str">
        <x:v>صورة مرئية فقط؛ لا تثبت نتيجة اختبار ولا تطابق النسخة الحالية</x:v>
      </x:c>
      <x:c r="R37" s="40" t="str">
        <x:v>b886ea404829dbc54bc07b3dacf3282601a97c8eb9ff602453d1de7c5c9eacf5</x:v>
      </x:c>
    </x:row>
    <x:row r="38" ht="36" hidden="0" customHeight="1">
      <x:c r="A38" s="21" t="str">
        <x:v>IMG-L-033</x:v>
      </x:c>
      <x:c r="B38" s="13" t="str">
        <x:v>التفاعل والإمساك بالمجسمات داخل المختبر</x:v>
      </x:c>
      <x:c r="C38" s="13" t="str">
        <x:v>لقطة/مادة بصرية؛ النوع في الوصف</x:v>
      </x:c>
      <x:c r="D38" s="13" t="str">
        <x:v>images.zip</x:v>
      </x:c>
      <x:c r="E38" s="13" t="str">
        <x:v>images/WhatsApp Image 2026-07-23 at 23.56.49.jpeg</x:v>
      </x:c>
      <x:c r="F38" s="13" t="str">
        <x:v>images/WhatsApp Image 2026-07-23 at 23.56.49.jpeg</x:v>
      </x:c>
      <x:c r="G38" s="27" t="n">
        <x:v>1707</x:v>
      </x:c>
      <x:c r="H38" s="27" t="n">
        <x:v>960</x:v>
      </x:c>
      <x:c r="I38" s="27" t="n">
        <x:v>87822</x:v>
      </x:c>
      <x:c r="J38" s="13" t="str">
        <x:v>JPEG</x:v>
      </x:c>
      <x:c r="K38" s="13" t="str">
        <x:v>IMG-L-033</x:v>
      </x:c>
      <x:c r="L38" s="13" t="str"/>
      <x:c r="M38" s="13" t="str">
        <x:v>مرشح للانتقاء مع توثيق المصدر والإصدار</x:v>
      </x:c>
      <x:c r="N38" s="13" t="str">
        <x:v>chapters/chapter-03/index.html#section-3-9-1؛ development/index.html#before-merge؛ الفصل الثالث: آلية التفاعل؛ الفصل الرابع: عرض الوظائف؛ ملحق دليل الطالب</x:v>
      </x:c>
      <x:c r="O38" s="13" t="str">
        <x:v>assets/images/img-l-033.jpeg</x:v>
      </x:c>
      <x:c r="P38" s="13" t="str">
        <x:v>التفاعل والإمساك بالمجسمات داخل المختبر</x:v>
      </x:c>
      <x:c r="Q38" s="13" t="str">
        <x:v>صورة مرئية فقط؛ لا تثبت نتيجة اختبار ولا تطابق النسخة الحالية</x:v>
      </x:c>
      <x:c r="R38" s="39" t="str">
        <x:v>51f93b54d665a9fbab280d05b6632520c46bbfe2dcee5128affb57b30af1f8db</x:v>
      </x:c>
    </x:row>
    <x:row r="39" ht="36" hidden="0" customHeight="1">
      <x:c r="A39" s="22" t="str">
        <x:v>IMG-L-034</x:v>
      </x:c>
      <x:c r="B39" s="16" t="str">
        <x:v>التفاعل والإمساك بالمجسمات داخل المختبر</x:v>
      </x:c>
      <x:c r="C39" s="16" t="str">
        <x:v>لقطة/مادة بصرية؛ النوع في الوصف</x:v>
      </x:c>
      <x:c r="D39" s="16" t="str">
        <x:v>images.zip</x:v>
      </x:c>
      <x:c r="E39" s="16" t="str">
        <x:v>images/WhatsApp Image 2026-07-23 at 23.57.02.jpeg</x:v>
      </x:c>
      <x:c r="F39" s="16" t="str">
        <x:v>images/WhatsApp Image 2026-07-23 at 23.57.02.jpeg</x:v>
      </x:c>
      <x:c r="G39" s="28" t="n">
        <x:v>1707</x:v>
      </x:c>
      <x:c r="H39" s="28" t="n">
        <x:v>960</x:v>
      </x:c>
      <x:c r="I39" s="28" t="n">
        <x:v>85306</x:v>
      </x:c>
      <x:c r="J39" s="16" t="str">
        <x:v>JPEG</x:v>
      </x:c>
      <x:c r="K39" s="16" t="str">
        <x:v>IMG-L-034</x:v>
      </x:c>
      <x:c r="L39" s="16" t="str"/>
      <x:c r="M39" s="16" t="str">
        <x:v>مرشح للانتقاء مع توثيق المصدر والإصدار</x:v>
      </x:c>
      <x:c r="N39" s="16" t="str">
        <x:v>chapters/chapter-03/index.html#section-3-9-1؛ development/index.html#before-merge؛ الفصل الثالث: آلية التفاعل؛ الفصل الرابع: عرض الوظائف؛ ملحق دليل الطالب</x:v>
      </x:c>
      <x:c r="O39" s="16" t="str">
        <x:v>assets/images/img-l-034.jpeg</x:v>
      </x:c>
      <x:c r="P39" s="16" t="str">
        <x:v>التفاعل والإمساك بالمجسمات داخل المختبر</x:v>
      </x:c>
      <x:c r="Q39" s="16" t="str">
        <x:v>صورة مرئية فقط؛ لا تثبت نتيجة اختبار ولا تطابق النسخة الحالية</x:v>
      </x:c>
      <x:c r="R39" s="40" t="str">
        <x:v>14b33f6021830ec48e372c555a0ab0e78fac987dbca5c4e5dc2e5aae5e639455</x:v>
      </x:c>
    </x:row>
    <x:row r="40" ht="36" hidden="0" customHeight="1">
      <x:c r="A40" s="21" t="str">
        <x:v>IMG-L-035</x:v>
      </x:c>
      <x:c r="B40" s="13" t="str">
        <x:v>التفاعل والإمساك بالمجسمات داخل المختبر</x:v>
      </x:c>
      <x:c r="C40" s="13" t="str">
        <x:v>لقطة/مادة بصرية؛ النوع في الوصف</x:v>
      </x:c>
      <x:c r="D40" s="13" t="str">
        <x:v>images.zip</x:v>
      </x:c>
      <x:c r="E40" s="13" t="str">
        <x:v>images/WhatsApp Image 2026-07-23 at 23.57.25.jpeg</x:v>
      </x:c>
      <x:c r="F40" s="13" t="str">
        <x:v>images/WhatsApp Image 2026-07-23 at 23.57.25.jpeg</x:v>
      </x:c>
      <x:c r="G40" s="27" t="n">
        <x:v>1707</x:v>
      </x:c>
      <x:c r="H40" s="27" t="n">
        <x:v>960</x:v>
      </x:c>
      <x:c r="I40" s="27" t="n">
        <x:v>83810</x:v>
      </x:c>
      <x:c r="J40" s="13" t="str">
        <x:v>JPEG</x:v>
      </x:c>
      <x:c r="K40" s="13" t="str">
        <x:v>IMG-L-035</x:v>
      </x:c>
      <x:c r="L40" s="13" t="str"/>
      <x:c r="M40" s="13" t="str">
        <x:v>مرشح للانتقاء مع توثيق المصدر والإصدار</x:v>
      </x:c>
      <x:c r="N40" s="13" t="str">
        <x:v>chapters/chapter-03/index.html#section-3-9-1؛ development/index.html#before-merge؛ الفصل الثالث: آلية التفاعل؛ الفصل الرابع: عرض الوظائف؛ ملحق دليل الطالب</x:v>
      </x:c>
      <x:c r="O40" s="13" t="str">
        <x:v>assets/images/img-l-035.jpeg</x:v>
      </x:c>
      <x:c r="P40" s="13" t="str">
        <x:v>التفاعل والإمساك بالمجسمات داخل المختبر</x:v>
      </x:c>
      <x:c r="Q40" s="13" t="str">
        <x:v>صورة مرئية فقط؛ لا تثبت نتيجة اختبار ولا تطابق النسخة الحالية</x:v>
      </x:c>
      <x:c r="R40" s="39" t="str">
        <x:v>ab79e70edd878a98dcccaf95ee21da4f7cf701b05314818e244d38c396f5a76d</x:v>
      </x:c>
    </x:row>
    <x:row r="41" ht="36" hidden="0" customHeight="1">
      <x:c r="A41" s="22" t="str">
        <x:v>IMG-L-036</x:v>
      </x:c>
      <x:c r="B41" s="16" t="str">
        <x:v>التفاعل والإمساك بالمجسمات داخل المختبر</x:v>
      </x:c>
      <x:c r="C41" s="16" t="str">
        <x:v>لقطة/مادة بصرية؛ النوع في الوصف</x:v>
      </x:c>
      <x:c r="D41" s="16" t="str">
        <x:v>images.zip</x:v>
      </x:c>
      <x:c r="E41" s="16" t="str">
        <x:v>images/WhatsApp Image 2026-07-23 at 23.57.37.jpeg</x:v>
      </x:c>
      <x:c r="F41" s="16" t="str">
        <x:v>images/WhatsApp Image 2026-07-23 at 23.57.37.jpeg</x:v>
      </x:c>
      <x:c r="G41" s="28" t="n">
        <x:v>1707</x:v>
      </x:c>
      <x:c r="H41" s="28" t="n">
        <x:v>960</x:v>
      </x:c>
      <x:c r="I41" s="28" t="n">
        <x:v>84327</x:v>
      </x:c>
      <x:c r="J41" s="16" t="str">
        <x:v>JPEG</x:v>
      </x:c>
      <x:c r="K41" s="16" t="str">
        <x:v>IMG-L-036</x:v>
      </x:c>
      <x:c r="L41" s="16" t="str"/>
      <x:c r="M41" s="16" t="str">
        <x:v>مرشح للانتقاء مع توثيق المصدر والإصدار</x:v>
      </x:c>
      <x:c r="N41" s="16" t="str">
        <x:v>chapters/chapter-03/index.html#section-3-9-1؛ development/index.html#before-merge؛ الفصل الثالث: آلية التفاعل؛ الفصل الرابع: عرض الوظائف؛ ملحق دليل الطالب</x:v>
      </x:c>
      <x:c r="O41" s="16" t="str">
        <x:v>assets/images/img-l-036.jpeg</x:v>
      </x:c>
      <x:c r="P41" s="16" t="str">
        <x:v>التفاعل والإمساك بالمجسمات داخل المختبر</x:v>
      </x:c>
      <x:c r="Q41" s="16" t="str">
        <x:v>صورة مرئية فقط؛ لا تثبت نتيجة اختبار ولا تطابق النسخة الحالية</x:v>
      </x:c>
      <x:c r="R41" s="40" t="str">
        <x:v>9917364a82f440e805c80042b272b981d0743273e8b66e9e09479e92d1d46853</x:v>
      </x:c>
    </x:row>
    <x:row r="42" ht="36" hidden="0" customHeight="1">
      <x:c r="A42" s="21" t="str">
        <x:v>IMG-L-037</x:v>
      </x:c>
      <x:c r="B42" s="13" t="str">
        <x:v>التفاعل والإمساك بالمجسمات داخل المختبر</x:v>
      </x:c>
      <x:c r="C42" s="13" t="str">
        <x:v>لقطة/مادة بصرية؛ النوع في الوصف</x:v>
      </x:c>
      <x:c r="D42" s="13" t="str">
        <x:v>images.zip</x:v>
      </x:c>
      <x:c r="E42" s="13" t="str">
        <x:v>images/WhatsApp Image 2026-07-23 at 23.57.50.jpeg</x:v>
      </x:c>
      <x:c r="F42" s="13" t="str">
        <x:v>images/WhatsApp Image 2026-07-23 at 23.57.50.jpeg</x:v>
      </x:c>
      <x:c r="G42" s="27" t="n">
        <x:v>1707</x:v>
      </x:c>
      <x:c r="H42" s="27" t="n">
        <x:v>960</x:v>
      </x:c>
      <x:c r="I42" s="27" t="n">
        <x:v>80977</x:v>
      </x:c>
      <x:c r="J42" s="13" t="str">
        <x:v>JPEG</x:v>
      </x:c>
      <x:c r="K42" s="13" t="str">
        <x:v>IMG-L-037</x:v>
      </x:c>
      <x:c r="L42" s="13" t="str"/>
      <x:c r="M42" s="13" t="str">
        <x:v>مرشح للانتقاء مع توثيق المصدر والإصدار</x:v>
      </x:c>
      <x:c r="N42" s="13" t="str">
        <x:v>chapters/chapter-03/index.html#section-3-9-1؛ development/index.html#before-merge؛ الفصل الثالث: آلية التفاعل؛ الفصل الرابع: عرض الوظائف؛ ملحق دليل الطالب</x:v>
      </x:c>
      <x:c r="O42" s="13" t="str">
        <x:v>assets/images/img-l-037.jpeg</x:v>
      </x:c>
      <x:c r="P42" s="13" t="str">
        <x:v>التفاعل والإمساك بالمجسمات داخل المختبر</x:v>
      </x:c>
      <x:c r="Q42" s="13" t="str">
        <x:v>صورة مرئية فقط؛ لا تثبت نتيجة اختبار ولا تطابق النسخة الحالية</x:v>
      </x:c>
      <x:c r="R42" s="39" t="str">
        <x:v>f9e87da9b4224fc02fd4eecc5df6a288908efc8c2fe9f959e606e5c55fc2cf69</x:v>
      </x:c>
    </x:row>
    <x:row r="43" ht="36" hidden="0" customHeight="1">
      <x:c r="A43" s="22" t="str">
        <x:v>IMG-L-038</x:v>
      </x:c>
      <x:c r="B43" s="16" t="str">
        <x:v>التفاعل والإمساك بالمجسمات داخل المختبر</x:v>
      </x:c>
      <x:c r="C43" s="16" t="str">
        <x:v>لقطة/مادة بصرية؛ النوع في الوصف</x:v>
      </x:c>
      <x:c r="D43" s="16" t="str">
        <x:v>images.zip</x:v>
      </x:c>
      <x:c r="E43" s="16" t="str">
        <x:v>images/WhatsApp Image 2026-07-23 at 23.58.05.jpeg</x:v>
      </x:c>
      <x:c r="F43" s="16" t="str">
        <x:v>images/WhatsApp Image 2026-07-23 at 23.58.05.jpeg</x:v>
      </x:c>
      <x:c r="G43" s="28" t="n">
        <x:v>1707</x:v>
      </x:c>
      <x:c r="H43" s="28" t="n">
        <x:v>960</x:v>
      </x:c>
      <x:c r="I43" s="28" t="n">
        <x:v>72687</x:v>
      </x:c>
      <x:c r="J43" s="16" t="str">
        <x:v>JPEG</x:v>
      </x:c>
      <x:c r="K43" s="16" t="str">
        <x:v>IMG-L-038</x:v>
      </x:c>
      <x:c r="L43" s="16" t="str"/>
      <x:c r="M43" s="16" t="str">
        <x:v>مرشح للانتقاء مع توثيق المصدر والإصدار</x:v>
      </x:c>
      <x:c r="N43" s="16" t="str">
        <x:v>chapters/chapter-03/index.html#section-3-9-1؛ development/index.html#before-merge؛ الفصل الثالث: آلية التفاعل؛ الفصل الرابع: عرض الوظائف؛ ملحق دليل الطالب</x:v>
      </x:c>
      <x:c r="O43" s="16" t="str">
        <x:v>assets/images/img-l-038.jpeg</x:v>
      </x:c>
      <x:c r="P43" s="16" t="str">
        <x:v>التفاعل والإمساك بالمجسمات داخل المختبر</x:v>
      </x:c>
      <x:c r="Q43" s="16" t="str">
        <x:v>صورة مرئية فقط؛ لا تثبت نتيجة اختبار ولا تطابق النسخة الحالية</x:v>
      </x:c>
      <x:c r="R43" s="40" t="str">
        <x:v>46b995a69bfd56deb6435b49fe5d709f3ba201c27fcbeb7db10e997ab4b2daf7</x:v>
      </x:c>
    </x:row>
    <x:row r="44" ht="36" hidden="0" customHeight="1">
      <x:c r="A44" s="21" t="str">
        <x:v>IMG-L-039</x:v>
      </x:c>
      <x:c r="B44" s="13" t="str">
        <x:v>التفاعل والإمساك بالمجسمات داخل المختبر</x:v>
      </x:c>
      <x:c r="C44" s="13" t="str">
        <x:v>لقطة/مادة بصرية؛ النوع في الوصف</x:v>
      </x:c>
      <x:c r="D44" s="13" t="str">
        <x:v>images.zip</x:v>
      </x:c>
      <x:c r="E44" s="13" t="str">
        <x:v>images/WhatsApp Image 2026-07-23 at 23.58.19.jpeg</x:v>
      </x:c>
      <x:c r="F44" s="13" t="str">
        <x:v>images/WhatsApp Image 2026-07-23 at 23.58.19.jpeg</x:v>
      </x:c>
      <x:c r="G44" s="27" t="n">
        <x:v>1707</x:v>
      </x:c>
      <x:c r="H44" s="27" t="n">
        <x:v>960</x:v>
      </x:c>
      <x:c r="I44" s="27" t="n">
        <x:v>72178</x:v>
      </x:c>
      <x:c r="J44" s="13" t="str">
        <x:v>JPEG</x:v>
      </x:c>
      <x:c r="K44" s="13" t="str">
        <x:v>IMG-L-039</x:v>
      </x:c>
      <x:c r="L44" s="13" t="str"/>
      <x:c r="M44" s="13" t="str">
        <x:v>مرشح للانتقاء مع توثيق المصدر والإصدار</x:v>
      </x:c>
      <x:c r="N44" s="13" t="str">
        <x:v>chapters/chapter-03/index.html#section-3-9-1؛ development/index.html#before-merge؛ الفصل الثالث: آلية التفاعل؛ الفصل الرابع: عرض الوظائف؛ ملحق دليل الطالب</x:v>
      </x:c>
      <x:c r="O44" s="13" t="str">
        <x:v>assets/images/img-l-039.jpeg</x:v>
      </x:c>
      <x:c r="P44" s="13" t="str">
        <x:v>التفاعل والإمساك بالمجسمات داخل المختبر</x:v>
      </x:c>
      <x:c r="Q44" s="13" t="str">
        <x:v>صورة مرئية فقط؛ لا تثبت نتيجة اختبار ولا تطابق النسخة الحالية</x:v>
      </x:c>
      <x:c r="R44" s="39" t="str">
        <x:v>365f9073c6de4e2198e0d7c25d16f7c40d17efa16b2858a388475dc7b9de5fe6</x:v>
      </x:c>
    </x:row>
    <x:row r="45" ht="36" hidden="0" customHeight="1">
      <x:c r="A45" s="22" t="str">
        <x:v>IMG-L-040</x:v>
      </x:c>
      <x:c r="B45" s="16" t="str">
        <x:v>التفاعل والإمساك بالمجسمات داخل المختبر</x:v>
      </x:c>
      <x:c r="C45" s="16" t="str">
        <x:v>لقطة/مادة بصرية؛ النوع في الوصف</x:v>
      </x:c>
      <x:c r="D45" s="16" t="str">
        <x:v>images.zip</x:v>
      </x:c>
      <x:c r="E45" s="16" t="str">
        <x:v>images/WhatsApp Image 2026-07-23 at 23.58.36.jpeg</x:v>
      </x:c>
      <x:c r="F45" s="16" t="str">
        <x:v>images/WhatsApp Image 2026-07-23 at 23.58.36.jpeg</x:v>
      </x:c>
      <x:c r="G45" s="28" t="n">
        <x:v>1707</x:v>
      </x:c>
      <x:c r="H45" s="28" t="n">
        <x:v>960</x:v>
      </x:c>
      <x:c r="I45" s="28" t="n">
        <x:v>42723</x:v>
      </x:c>
      <x:c r="J45" s="16" t="str">
        <x:v>JPEG</x:v>
      </x:c>
      <x:c r="K45" s="16" t="str">
        <x:v>IMG-L-040</x:v>
      </x:c>
      <x:c r="L45" s="16" t="str"/>
      <x:c r="M45" s="16" t="str">
        <x:v>مرشح للانتقاء مع توثيق المصدر والإصدار</x:v>
      </x:c>
      <x:c r="N45" s="16" t="str">
        <x:v>chapters/chapter-03/index.html#section-3-9-1؛ development/index.html#before-merge؛ الفصل الثالث: آلية التفاعل؛ الفصل الرابع: عرض الوظائف؛ ملحق دليل الطالب</x:v>
      </x:c>
      <x:c r="O45" s="16" t="str">
        <x:v>assets/images/img-l-040.jpeg</x:v>
      </x:c>
      <x:c r="P45" s="16" t="str">
        <x:v>التفاعل والإمساك بالمجسمات داخل المختبر</x:v>
      </x:c>
      <x:c r="Q45" s="16" t="str">
        <x:v>صورة مرئية فقط؛ لا تثبت نتيجة اختبار ولا تطابق النسخة الحالية</x:v>
      </x:c>
      <x:c r="R45" s="40" t="str">
        <x:v>660a12c2e371ac3b73f9a1e197674a71fc935c28cfd596858e29822eb1b6ebc3</x:v>
      </x:c>
    </x:row>
    <x:row r="46" ht="36" hidden="0" customHeight="1">
      <x:c r="A46" s="21" t="str">
        <x:v>IMG-L-041</x:v>
      </x:c>
      <x:c r="B46" s="13" t="str">
        <x:v>التفاعل والإمساك بالمجسمات داخل المختبر</x:v>
      </x:c>
      <x:c r="C46" s="13" t="str">
        <x:v>لقطة/مادة بصرية؛ النوع في الوصف</x:v>
      </x:c>
      <x:c r="D46" s="13" t="str">
        <x:v>images.zip</x:v>
      </x:c>
      <x:c r="E46" s="13" t="str">
        <x:v>images/WhatsApp Image 2026-07-23 at 23.58.47.jpeg</x:v>
      </x:c>
      <x:c r="F46" s="13" t="str">
        <x:v>images/WhatsApp Image 2026-07-23 at 23.58.47.jpeg</x:v>
      </x:c>
      <x:c r="G46" s="27" t="n">
        <x:v>1707</x:v>
      </x:c>
      <x:c r="H46" s="27" t="n">
        <x:v>960</x:v>
      </x:c>
      <x:c r="I46" s="27" t="n">
        <x:v>40112</x:v>
      </x:c>
      <x:c r="J46" s="13" t="str">
        <x:v>JPEG</x:v>
      </x:c>
      <x:c r="K46" s="13" t="str">
        <x:v>IMG-L-041</x:v>
      </x:c>
      <x:c r="L46" s="13" t="str"/>
      <x:c r="M46" s="13" t="str">
        <x:v>مرشح للانتقاء مع توثيق المصدر والإصدار</x:v>
      </x:c>
      <x:c r="N46" s="13" t="str">
        <x:v>chapters/chapter-03/index.html#section-3-9-1؛ development/index.html#before-merge؛ الفصل الثالث: آلية التفاعل؛ الفصل الرابع: عرض الوظائف؛ ملحق دليل الطالب</x:v>
      </x:c>
      <x:c r="O46" s="13" t="str">
        <x:v>assets/images/img-l-041.jpeg</x:v>
      </x:c>
      <x:c r="P46" s="13" t="str">
        <x:v>التفاعل والإمساك بالمجسمات داخل المختبر</x:v>
      </x:c>
      <x:c r="Q46" s="13" t="str">
        <x:v>صورة مرئية فقط؛ لا تثبت نتيجة اختبار ولا تطابق النسخة الحالية</x:v>
      </x:c>
      <x:c r="R46" s="39" t="str">
        <x:v>995853623d47167eab62209ef1e7c447a9f69e5c0f189bd3b8d82cbdfe380431</x:v>
      </x:c>
    </x:row>
    <x:row r="47" ht="36" hidden="0" customHeight="1">
      <x:c r="A47" s="22" t="str">
        <x:v>IMG-L-042</x:v>
      </x:c>
      <x:c r="B47" s="16" t="str">
        <x:v>التفاعل والإمساك بالمجسمات داخل المختبر</x:v>
      </x:c>
      <x:c r="C47" s="16" t="str">
        <x:v>لقطة/مادة بصرية؛ النوع في الوصف</x:v>
      </x:c>
      <x:c r="D47" s="16" t="str">
        <x:v>images.zip</x:v>
      </x:c>
      <x:c r="E47" s="16" t="str">
        <x:v>images/WhatsApp Image 2026-07-23 at 23.59.05.jpeg</x:v>
      </x:c>
      <x:c r="F47" s="16" t="str">
        <x:v>images/WhatsApp Image 2026-07-23 at 23.59.05.jpeg</x:v>
      </x:c>
      <x:c r="G47" s="28" t="n">
        <x:v>1707</x:v>
      </x:c>
      <x:c r="H47" s="28" t="n">
        <x:v>960</x:v>
      </x:c>
      <x:c r="I47" s="28" t="n">
        <x:v>44801</x:v>
      </x:c>
      <x:c r="J47" s="16" t="str">
        <x:v>JPEG</x:v>
      </x:c>
      <x:c r="K47" s="16" t="str">
        <x:v>IMG-L-042</x:v>
      </x:c>
      <x:c r="L47" s="16" t="str"/>
      <x:c r="M47" s="16" t="str">
        <x:v>مرشح للانتقاء مع توثيق المصدر والإصدار</x:v>
      </x:c>
      <x:c r="N47" s="16" t="str">
        <x:v>chapters/chapter-03/index.html#section-3-9-1؛ development/index.html#before-merge؛ الفصل الثالث: آلية التفاعل؛ الفصل الرابع: عرض الوظائف؛ ملحق دليل الطالب</x:v>
      </x:c>
      <x:c r="O47" s="16" t="str">
        <x:v>assets/images/img-l-042.jpeg</x:v>
      </x:c>
      <x:c r="P47" s="16" t="str">
        <x:v>التفاعل والإمساك بالمجسمات داخل المختبر</x:v>
      </x:c>
      <x:c r="Q47" s="16" t="str">
        <x:v>صورة مرئية فقط؛ لا تثبت نتيجة اختبار ولا تطابق النسخة الحالية</x:v>
      </x:c>
      <x:c r="R47" s="40" t="str">
        <x:v>84eac56491ea63be3fca26edcfb2cce22269c0fa90627c7f590b800a04f797fe</x:v>
      </x:c>
    </x:row>
    <x:row r="48" ht="36" hidden="0" customHeight="1">
      <x:c r="A48" s="21" t="str">
        <x:v>IMG-L-043</x:v>
      </x:c>
      <x:c r="B48" s="13" t="str">
        <x:v>التفاعل والإمساك بالمجسمات داخل المختبر</x:v>
      </x:c>
      <x:c r="C48" s="13" t="str">
        <x:v>لقطة/مادة بصرية؛ النوع في الوصف</x:v>
      </x:c>
      <x:c r="D48" s="13" t="str">
        <x:v>images.zip</x:v>
      </x:c>
      <x:c r="E48" s="13" t="str">
        <x:v>images/WhatsApp Image 2026-07-23 at 23.59.14.jpeg</x:v>
      </x:c>
      <x:c r="F48" s="13" t="str">
        <x:v>images/WhatsApp Image 2026-07-23 at 23.59.14.jpeg</x:v>
      </x:c>
      <x:c r="G48" s="27" t="n">
        <x:v>1707</x:v>
      </x:c>
      <x:c r="H48" s="27" t="n">
        <x:v>960</x:v>
      </x:c>
      <x:c r="I48" s="27" t="n">
        <x:v>44767</x:v>
      </x:c>
      <x:c r="J48" s="13" t="str">
        <x:v>JPEG</x:v>
      </x:c>
      <x:c r="K48" s="13" t="str">
        <x:v>IMG-L-043</x:v>
      </x:c>
      <x:c r="L48" s="13" t="str"/>
      <x:c r="M48" s="13" t="str">
        <x:v>مرشح للانتقاء مع توثيق المصدر والإصدار</x:v>
      </x:c>
      <x:c r="N48" s="13" t="str">
        <x:v>chapters/chapter-03/index.html#section-3-9-1؛ development/index.html#before-merge؛ الفصل الثالث: آلية التفاعل؛ الفصل الرابع: عرض الوظائف؛ ملحق دليل الطالب</x:v>
      </x:c>
      <x:c r="O48" s="13" t="str">
        <x:v>assets/images/img-l-043.jpeg</x:v>
      </x:c>
      <x:c r="P48" s="13" t="str">
        <x:v>التفاعل والإمساك بالمجسمات داخل المختبر</x:v>
      </x:c>
      <x:c r="Q48" s="13" t="str">
        <x:v>صورة مرئية فقط؛ لا تثبت نتيجة اختبار ولا تطابق النسخة الحالية</x:v>
      </x:c>
      <x:c r="R48" s="39" t="str">
        <x:v>a9904f25ba5e64709651105dbd621fdac956a65b183b350b9863cb3f5f991332</x:v>
      </x:c>
    </x:row>
    <x:row r="49" ht="36" hidden="0" customHeight="1">
      <x:c r="A49" s="22" t="str">
        <x:v>IMG-L-044</x:v>
      </x:c>
      <x:c r="B49" s="16" t="str">
        <x:v>التفاعل والإمساك بالمجسمات داخل المختبر</x:v>
      </x:c>
      <x:c r="C49" s="16" t="str">
        <x:v>لقطة/مادة بصرية؛ النوع في الوصف</x:v>
      </x:c>
      <x:c r="D49" s="16" t="str">
        <x:v>images.zip</x:v>
      </x:c>
      <x:c r="E49" s="16" t="str">
        <x:v>images/WhatsApp Image 2026-07-23 at 23.59.24.jpeg</x:v>
      </x:c>
      <x:c r="F49" s="16" t="str">
        <x:v>images/WhatsApp Image 2026-07-23 at 23.59.24.jpeg</x:v>
      </x:c>
      <x:c r="G49" s="28" t="n">
        <x:v>1707</x:v>
      </x:c>
      <x:c r="H49" s="28" t="n">
        <x:v>960</x:v>
      </x:c>
      <x:c r="I49" s="28" t="n">
        <x:v>45382</x:v>
      </x:c>
      <x:c r="J49" s="16" t="str">
        <x:v>JPEG</x:v>
      </x:c>
      <x:c r="K49" s="16" t="str">
        <x:v>IMG-L-044</x:v>
      </x:c>
      <x:c r="L49" s="16" t="str"/>
      <x:c r="M49" s="16" t="str">
        <x:v>مرشح للانتقاء مع توثيق المصدر والإصدار</x:v>
      </x:c>
      <x:c r="N49" s="16" t="str">
        <x:v>chapters/chapter-03/index.html#section-3-9-1؛ development/index.html#before-merge؛ الفصل الثالث: آلية التفاعل؛ الفصل الرابع: عرض الوظائف؛ ملحق دليل الطالب</x:v>
      </x:c>
      <x:c r="O49" s="16" t="str">
        <x:v>assets/images/img-l-044.jpeg</x:v>
      </x:c>
      <x:c r="P49" s="16" t="str">
        <x:v>التفاعل والإمساك بالمجسمات داخل المختبر</x:v>
      </x:c>
      <x:c r="Q49" s="16" t="str">
        <x:v>صورة مرئية فقط؛ لا تثبت نتيجة اختبار ولا تطابق النسخة الحالية</x:v>
      </x:c>
      <x:c r="R49" s="40" t="str">
        <x:v>01bf8059834af3b1e22a617ea7111ee75c0605ec19c15ed5f335ae4f26eb97fd</x:v>
      </x:c>
    </x:row>
    <x:row r="50" ht="36" hidden="0" customHeight="1">
      <x:c r="A50" s="21" t="str">
        <x:v>IMG-L-045</x:v>
      </x:c>
      <x:c r="B50" s="13" t="str">
        <x:v>مختبر المجسمات وخصائصها</x:v>
      </x:c>
      <x:c r="C50" s="13" t="str">
        <x:v>لقطة/مادة بصرية؛ النوع في الوصف</x:v>
      </x:c>
      <x:c r="D50" s="13" t="str">
        <x:v>images.zip</x:v>
      </x:c>
      <x:c r="E50" s="13" t="str">
        <x:v>images/WhatsApp Image 2026-07-24 at 11.44.51.jpeg</x:v>
      </x:c>
      <x:c r="F50" s="13" t="str">
        <x:v>images/WhatsApp Image 2026-07-24 at 11.44.51.jpeg</x:v>
      </x:c>
      <x:c r="G50" s="27" t="n">
        <x:v>1600</x:v>
      </x:c>
      <x:c r="H50" s="27" t="n">
        <x:v>900</x:v>
      </x:c>
      <x:c r="I50" s="27" t="n">
        <x:v>60252</x:v>
      </x:c>
      <x:c r="J50" s="13" t="str">
        <x:v>JPEG</x:v>
      </x:c>
      <x:c r="K50" s="13" t="str">
        <x:v>IMG-L-045</x:v>
      </x:c>
      <x:c r="L50" s="13" t="str"/>
      <x:c r="M50" s="13" t="str">
        <x:v>مرشح للانتقاء مع توثيق المصدر والإصدار</x:v>
      </x:c>
      <x:c r="N50" s="13" t="str">
        <x:v>chapters/chapter-03/index.html#section-3-8؛ evidence/index.html#solids؛ الفصل الثالث: تصميم مختبر المجسمات؛ الفصل الرابع: الواجهات؛ ملحق دليل الطالب</x:v>
      </x:c>
      <x:c r="O50" s="13" t="str">
        <x:v>assets/images/img-l-045.jpeg</x:v>
      </x:c>
      <x:c r="P50" s="13" t="str">
        <x:v>مختبر المجسمات وخصائصها</x:v>
      </x:c>
      <x:c r="Q50" s="13" t="str">
        <x:v>صورة مرئية فقط؛ لا تثبت نتيجة اختبار ولا تطابق النسخة الحالية</x:v>
      </x:c>
      <x:c r="R50" s="39" t="str">
        <x:v>53191b1753d48b6db20dd6175c51a531ff05c68a6e2766d2f1aec9803695fb4b</x:v>
      </x:c>
    </x:row>
    <x:row r="51" ht="36" hidden="0" customHeight="1">
      <x:c r="A51" s="22" t="str">
        <x:v>IMG-L-046</x:v>
      </x:c>
      <x:c r="B51" s="16" t="str">
        <x:v>مختبر المجسمات وخصائصها</x:v>
      </x:c>
      <x:c r="C51" s="16" t="str">
        <x:v>لقطة/مادة بصرية؛ النوع في الوصف</x:v>
      </x:c>
      <x:c r="D51" s="16" t="str">
        <x:v>images.zip</x:v>
      </x:c>
      <x:c r="E51" s="16" t="str">
        <x:v>images/WhatsApp Image 2026-07-24 at 11.45.05.jpeg</x:v>
      </x:c>
      <x:c r="F51" s="16" t="str">
        <x:v>images/WhatsApp Image 2026-07-24 at 11.45.05.jpeg</x:v>
      </x:c>
      <x:c r="G51" s="28" t="n">
        <x:v>1600</x:v>
      </x:c>
      <x:c r="H51" s="28" t="n">
        <x:v>900</x:v>
      </x:c>
      <x:c r="I51" s="28" t="n">
        <x:v>60252</x:v>
      </x:c>
      <x:c r="J51" s="16" t="str">
        <x:v>JPEG</x:v>
      </x:c>
      <x:c r="K51" s="16" t="str">
        <x:v>IMG-L-045</x:v>
      </x:c>
      <x:c r="L51" s="16" t="str">
        <x:v>IMG-L-045</x:v>
      </x:c>
      <x:c r="M51" s="16" t="str">
        <x:v>مرشح للانتقاء مع توثيق المصدر والإصدار</x:v>
      </x:c>
      <x:c r="N51" s="16" t="str">
        <x:v>chapters/chapter-03/index.html#section-3-8؛ evidence/index.html#solids؛ الفصل الثالث: تصميم مختبر المجسمات؛ الفصل الرابع: الواجهات؛ ملحق دليل الطالب</x:v>
      </x:c>
      <x:c r="O51" s="16" t="str">
        <x:v>assets/images/img-l-045.jpeg</x:v>
      </x:c>
      <x:c r="P51" s="16" t="str">
        <x:v>مختبر المجسمات وخصائصها</x:v>
      </x:c>
      <x:c r="Q51" s="16" t="str">
        <x:v>صورة مرئية فقط؛ لا تثبت نتيجة اختبار ولا تطابق النسخة الحالية</x:v>
      </x:c>
      <x:c r="R51" s="40" t="str">
        <x:v>53191b1753d48b6db20dd6175c51a531ff05c68a6e2766d2f1aec9803695fb4b</x:v>
      </x:c>
    </x:row>
    <x:row r="52" ht="36" hidden="0" customHeight="1">
      <x:c r="A52" s="21" t="str">
        <x:v>IMG-L-047</x:v>
      </x:c>
      <x:c r="B52" s="13" t="str">
        <x:v>مختبر المجسمات وخصائصها</x:v>
      </x:c>
      <x:c r="C52" s="13" t="str">
        <x:v>لقطة/مادة بصرية؛ النوع في الوصف</x:v>
      </x:c>
      <x:c r="D52" s="13" t="str">
        <x:v>images.zip</x:v>
      </x:c>
      <x:c r="E52" s="13" t="str">
        <x:v>images/WhatsApp Image 2026-07-24 at 11.45.21.jpeg</x:v>
      </x:c>
      <x:c r="F52" s="13" t="str">
        <x:v>images/WhatsApp Image 2026-07-24 at 11.45.21.jpeg</x:v>
      </x:c>
      <x:c r="G52" s="27" t="n">
        <x:v>1600</x:v>
      </x:c>
      <x:c r="H52" s="27" t="n">
        <x:v>900</x:v>
      </x:c>
      <x:c r="I52" s="27" t="n">
        <x:v>57270</x:v>
      </x:c>
      <x:c r="J52" s="13" t="str">
        <x:v>JPEG</x:v>
      </x:c>
      <x:c r="K52" s="13" t="str">
        <x:v>IMG-L-047</x:v>
      </x:c>
      <x:c r="L52" s="13" t="str"/>
      <x:c r="M52" s="13" t="str">
        <x:v>مرشح للانتقاء مع توثيق المصدر والإصدار</x:v>
      </x:c>
      <x:c r="N52" s="13" t="str">
        <x:v>chapters/chapter-03/index.html#section-3-8؛ evidence/index.html#solids؛ الفصل الثالث: تصميم مختبر المجسمات؛ الفصل الرابع: الواجهات؛ ملحق دليل الطالب</x:v>
      </x:c>
      <x:c r="O52" s="13" t="str">
        <x:v>assets/images/img-l-047.jpeg</x:v>
      </x:c>
      <x:c r="P52" s="13" t="str">
        <x:v>مختبر المجسمات وخصائصها</x:v>
      </x:c>
      <x:c r="Q52" s="13" t="str">
        <x:v>صورة مرئية فقط؛ لا تثبت نتيجة اختبار ولا تطابق النسخة الحالية</x:v>
      </x:c>
      <x:c r="R52" s="39" t="str">
        <x:v>9df85ba75745431b677706f0367eccb08eca9ea7fd151e763fbaf160adae77ca</x:v>
      </x:c>
    </x:row>
    <x:row r="53" ht="36" hidden="0" customHeight="1">
      <x:c r="A53" s="22" t="str">
        <x:v>IMG-L-048</x:v>
      </x:c>
      <x:c r="B53" s="16" t="str">
        <x:v>مختبر المجسمات وخصائصها</x:v>
      </x:c>
      <x:c r="C53" s="16" t="str">
        <x:v>لقطة/مادة بصرية؛ النوع في الوصف</x:v>
      </x:c>
      <x:c r="D53" s="16" t="str">
        <x:v>images.zip</x:v>
      </x:c>
      <x:c r="E53" s="16" t="str">
        <x:v>images/WhatsApp Image 2026-07-24 at 11.45.32.jpeg</x:v>
      </x:c>
      <x:c r="F53" s="16" t="str">
        <x:v>images/WhatsApp Image 2026-07-24 at 11.45.32.jpeg</x:v>
      </x:c>
      <x:c r="G53" s="28" t="n">
        <x:v>1600</x:v>
      </x:c>
      <x:c r="H53" s="28" t="n">
        <x:v>900</x:v>
      </x:c>
      <x:c r="I53" s="28" t="n">
        <x:v>60277</x:v>
      </x:c>
      <x:c r="J53" s="16" t="str">
        <x:v>JPEG</x:v>
      </x:c>
      <x:c r="K53" s="16" t="str">
        <x:v>IMG-L-048</x:v>
      </x:c>
      <x:c r="L53" s="16" t="str"/>
      <x:c r="M53" s="16" t="str">
        <x:v>مرشح للانتقاء مع توثيق المصدر والإصدار</x:v>
      </x:c>
      <x:c r="N53" s="16" t="str">
        <x:v>chapters/chapter-03/index.html#section-3-8؛ evidence/index.html#solids؛ الفصل الثالث: تصميم مختبر المجسمات؛ الفصل الرابع: الواجهات؛ ملحق دليل الطالب</x:v>
      </x:c>
      <x:c r="O53" s="16" t="str">
        <x:v>assets/images/img-l-048.jpeg</x:v>
      </x:c>
      <x:c r="P53" s="16" t="str">
        <x:v>مختبر المجسمات وخصائصها</x:v>
      </x:c>
      <x:c r="Q53" s="16" t="str">
        <x:v>صورة مرئية فقط؛ لا تثبت نتيجة اختبار ولا تطابق النسخة الحالية</x:v>
      </x:c>
      <x:c r="R53" s="40" t="str">
        <x:v>575d7a3090e30e44758eefd7ef00e043fec90d5af5865368bd1c99a14a2dcc2b</x:v>
      </x:c>
    </x:row>
    <x:row r="54" ht="36" hidden="0" customHeight="1">
      <x:c r="A54" s="21" t="str">
        <x:v>IMG-L-049</x:v>
      </x:c>
      <x:c r="B54" s="13" t="str">
        <x:v>شاشات الفيديو التعليمية داخل المختبر</x:v>
      </x:c>
      <x:c r="C54" s="13" t="str">
        <x:v>لقطة/مادة بصرية؛ النوع في الوصف</x:v>
      </x:c>
      <x:c r="D54" s="13" t="str">
        <x:v>images.zip</x:v>
      </x:c>
      <x:c r="E54" s="13" t="str">
        <x:v>images/WhatsApp Image 2026-07-24 at 11.45.43.jpeg</x:v>
      </x:c>
      <x:c r="F54" s="13" t="str">
        <x:v>images/WhatsApp Image 2026-07-24 at 11.45.43.jpeg</x:v>
      </x:c>
      <x:c r="G54" s="27" t="n">
        <x:v>1600</x:v>
      </x:c>
      <x:c r="H54" s="27" t="n">
        <x:v>900</x:v>
      </x:c>
      <x:c r="I54" s="27" t="n">
        <x:v>101551</x:v>
      </x:c>
      <x:c r="J54" s="13" t="str">
        <x:v>JPEG</x:v>
      </x:c>
      <x:c r="K54" s="13" t="str">
        <x:v>IMG-L-049</x:v>
      </x:c>
      <x:c r="L54" s="13" t="str"/>
      <x:c r="M54" s="13" t="str">
        <x:v>مرشح للانتقاء مع توثيق المصدر والإصدار</x:v>
      </x:c>
      <x:c r="N54" s="13" t="str">
        <x:v>chapters/chapter-03/index.html#section-3-8؛ evidence/index.html#solids؛ الفصل الثالث: الوسائط التعليمية؛ الفصل الرابع: الواجهات؛ ملحق دليل الاستخدام</x:v>
      </x:c>
      <x:c r="O54" s="13" t="str">
        <x:v>assets/images/img-l-049.jpeg</x:v>
      </x:c>
      <x:c r="P54" s="13" t="str">
        <x:v>شاشات الفيديو التعليمية داخل المختبر</x:v>
      </x:c>
      <x:c r="Q54" s="13" t="str">
        <x:v>صورة مرئية فقط؛ لا تثبت نتيجة اختبار ولا تطابق النسخة الحالية</x:v>
      </x:c>
      <x:c r="R54" s="39" t="str">
        <x:v>0290b897d7ae95b75c6ba66c0cdea4fe4e6851b4f038a17160095b93c7d0172d</x:v>
      </x:c>
    </x:row>
    <x:row r="55" ht="36" hidden="0" customHeight="1">
      <x:c r="A55" s="22" t="str">
        <x:v>IMG-L-050</x:v>
      </x:c>
      <x:c r="B55" s="16" t="str">
        <x:v>شاشات الفيديو التعليمية داخل المختبر</x:v>
      </x:c>
      <x:c r="C55" s="16" t="str">
        <x:v>لقطة/مادة بصرية؛ النوع في الوصف</x:v>
      </x:c>
      <x:c r="D55" s="16" t="str">
        <x:v>images.zip</x:v>
      </x:c>
      <x:c r="E55" s="16" t="str">
        <x:v>images/WhatsApp Image 2026-07-24 at 11.45.54.jpeg</x:v>
      </x:c>
      <x:c r="F55" s="16" t="str">
        <x:v>images/WhatsApp Image 2026-07-24 at 11.45.54.jpeg</x:v>
      </x:c>
      <x:c r="G55" s="28" t="n">
        <x:v>1600</x:v>
      </x:c>
      <x:c r="H55" s="28" t="n">
        <x:v>900</x:v>
      </x:c>
      <x:c r="I55" s="28" t="n">
        <x:v>81015</x:v>
      </x:c>
      <x:c r="J55" s="16" t="str">
        <x:v>JPEG</x:v>
      </x:c>
      <x:c r="K55" s="16" t="str">
        <x:v>IMG-L-050</x:v>
      </x:c>
      <x:c r="L55" s="16" t="str"/>
      <x:c r="M55" s="16" t="str">
        <x:v>مرشح للانتقاء مع توثيق المصدر والإصدار</x:v>
      </x:c>
      <x:c r="N55" s="16" t="str">
        <x:v>chapters/chapter-03/index.html#section-3-8؛ evidence/index.html#solids؛ الفصل الثالث: الوسائط التعليمية؛ الفصل الرابع: الواجهات؛ ملحق دليل الاستخدام</x:v>
      </x:c>
      <x:c r="O55" s="16" t="str">
        <x:v>assets/images/img-l-050.jpeg</x:v>
      </x:c>
      <x:c r="P55" s="16" t="str">
        <x:v>شاشات الفيديو التعليمية داخل المختبر</x:v>
      </x:c>
      <x:c r="Q55" s="16" t="str">
        <x:v>صورة مرئية فقط؛ لا تثبت نتيجة اختبار ولا تطابق النسخة الحالية</x:v>
      </x:c>
      <x:c r="R55" s="40" t="str">
        <x:v>cb153ee2014ae42b1c8628e7e78d79db3dded51669cbb3074664daffad638ee9</x:v>
      </x:c>
    </x:row>
    <x:row r="56" ht="36" hidden="0" customHeight="1">
      <x:c r="A56" s="21" t="str">
        <x:v>IMG-L-051</x:v>
      </x:c>
      <x:c r="B56" s="13" t="str">
        <x:v>شاشات الفيديو التعليمية داخل المختبر</x:v>
      </x:c>
      <x:c r="C56" s="13" t="str">
        <x:v>لقطة/مادة بصرية؛ النوع في الوصف</x:v>
      </x:c>
      <x:c r="D56" s="13" t="str">
        <x:v>images.zip</x:v>
      </x:c>
      <x:c r="E56" s="13" t="str">
        <x:v>images/WhatsApp Image 2026-07-24 at 11.46.06.jpeg</x:v>
      </x:c>
      <x:c r="F56" s="13" t="str">
        <x:v>images/WhatsApp Image 2026-07-24 at 11.46.06.jpeg</x:v>
      </x:c>
      <x:c r="G56" s="27" t="n">
        <x:v>1600</x:v>
      </x:c>
      <x:c r="H56" s="27" t="n">
        <x:v>900</x:v>
      </x:c>
      <x:c r="I56" s="27" t="n">
        <x:v>93168</x:v>
      </x:c>
      <x:c r="J56" s="13" t="str">
        <x:v>JPEG</x:v>
      </x:c>
      <x:c r="K56" s="13" t="str">
        <x:v>IMG-L-051</x:v>
      </x:c>
      <x:c r="L56" s="13" t="str"/>
      <x:c r="M56" s="13" t="str">
        <x:v>مرشح للانتقاء مع توثيق المصدر والإصدار</x:v>
      </x:c>
      <x:c r="N56" s="13" t="str">
        <x:v>chapters/chapter-03/index.html#section-3-8؛ evidence/index.html#solids؛ الفصل الثالث: الوسائط التعليمية؛ الفصل الرابع: الواجهات؛ ملحق دليل الاستخدام</x:v>
      </x:c>
      <x:c r="O56" s="13" t="str">
        <x:v>assets/images/img-l-051.jpeg</x:v>
      </x:c>
      <x:c r="P56" s="13" t="str">
        <x:v>شاشات الفيديو التعليمية داخل المختبر</x:v>
      </x:c>
      <x:c r="Q56" s="13" t="str">
        <x:v>صورة مرئية فقط؛ لا تثبت نتيجة اختبار ولا تطابق النسخة الحالية</x:v>
      </x:c>
      <x:c r="R56" s="39" t="str">
        <x:v>2d6e2ef72e552098b96abccc53a892070d86a9ae5546e62fc8a4cfb79d8e90c0</x:v>
      </x:c>
    </x:row>
    <x:row r="57" ht="36" hidden="0" customHeight="1">
      <x:c r="A57" s="22" t="str">
        <x:v>IMG-L-052</x:v>
      </x:c>
      <x:c r="B57" s="16" t="str">
        <x:v>شاشات الفيديو التعليمية داخل المختبر</x:v>
      </x:c>
      <x:c r="C57" s="16" t="str">
        <x:v>لقطة/مادة بصرية؛ النوع في الوصف</x:v>
      </x:c>
      <x:c r="D57" s="16" t="str">
        <x:v>images.zip</x:v>
      </x:c>
      <x:c r="E57" s="16" t="str">
        <x:v>images/WhatsApp Image 2026-07-24 at 11.46.17.jpeg</x:v>
      </x:c>
      <x:c r="F57" s="16" t="str">
        <x:v>images/WhatsApp Image 2026-07-24 at 11.46.17.jpeg</x:v>
      </x:c>
      <x:c r="G57" s="28" t="n">
        <x:v>1600</x:v>
      </x:c>
      <x:c r="H57" s="28" t="n">
        <x:v>900</x:v>
      </x:c>
      <x:c r="I57" s="28" t="n">
        <x:v>99610</x:v>
      </x:c>
      <x:c r="J57" s="16" t="str">
        <x:v>JPEG</x:v>
      </x:c>
      <x:c r="K57" s="16" t="str">
        <x:v>IMG-L-052</x:v>
      </x:c>
      <x:c r="L57" s="16" t="str"/>
      <x:c r="M57" s="16" t="str">
        <x:v>مرشح للانتقاء مع توثيق المصدر والإصدار</x:v>
      </x:c>
      <x:c r="N57" s="16" t="str">
        <x:v>chapters/chapter-03/index.html#section-3-8؛ evidence/index.html#solids؛ الفصل الثالث: الوسائط التعليمية؛ الفصل الرابع: الواجهات؛ ملحق دليل الاستخدام</x:v>
      </x:c>
      <x:c r="O57" s="16" t="str">
        <x:v>assets/images/img-l-052.jpeg</x:v>
      </x:c>
      <x:c r="P57" s="16" t="str">
        <x:v>شاشات الفيديو التعليمية داخل المختبر</x:v>
      </x:c>
      <x:c r="Q57" s="16" t="str">
        <x:v>صورة مرئية فقط؛ لا تثبت نتيجة اختبار ولا تطابق النسخة الحالية</x:v>
      </x:c>
      <x:c r="R57" s="40" t="str">
        <x:v>c44893ea2b1999d505a0315e873edfcf024f60f912b65fe19d71c5ea2c95d1c0</x:v>
      </x:c>
    </x:row>
    <x:row r="58" ht="36" hidden="0" customHeight="1">
      <x:c r="A58" s="21" t="str">
        <x:v>IMG-L-053</x:v>
      </x:c>
      <x:c r="B58" s="13" t="str">
        <x:v>شاشات الفيديو التعليمية داخل المختبر</x:v>
      </x:c>
      <x:c r="C58" s="13" t="str">
        <x:v>لقطة/مادة بصرية؛ النوع في الوصف</x:v>
      </x:c>
      <x:c r="D58" s="13" t="str">
        <x:v>images.zip</x:v>
      </x:c>
      <x:c r="E58" s="13" t="str">
        <x:v>images/WhatsApp Image 2026-07-24 at 11.46.30.jpeg</x:v>
      </x:c>
      <x:c r="F58" s="13" t="str">
        <x:v>images/WhatsApp Image 2026-07-24 at 11.46.30.jpeg</x:v>
      </x:c>
      <x:c r="G58" s="27" t="n">
        <x:v>1600</x:v>
      </x:c>
      <x:c r="H58" s="27" t="n">
        <x:v>900</x:v>
      </x:c>
      <x:c r="I58" s="27" t="n">
        <x:v>89008</x:v>
      </x:c>
      <x:c r="J58" s="13" t="str">
        <x:v>JPEG</x:v>
      </x:c>
      <x:c r="K58" s="13" t="str">
        <x:v>IMG-L-053</x:v>
      </x:c>
      <x:c r="L58" s="13" t="str"/>
      <x:c r="M58" s="13" t="str">
        <x:v>مرشح للانتقاء مع توثيق المصدر والإصدار</x:v>
      </x:c>
      <x:c r="N58" s="13" t="str">
        <x:v>chapters/chapter-03/index.html#section-3-8؛ evidence/index.html#solids؛ الفصل الثالث: الوسائط التعليمية؛ الفصل الرابع: الواجهات؛ ملحق دليل الاستخدام</x:v>
      </x:c>
      <x:c r="O58" s="13" t="str">
        <x:v>assets/images/img-l-053.jpeg</x:v>
      </x:c>
      <x:c r="P58" s="13" t="str">
        <x:v>شاشات الفيديو التعليمية داخل المختبر</x:v>
      </x:c>
      <x:c r="Q58" s="13" t="str">
        <x:v>صورة مرئية فقط؛ لا تثبت نتيجة اختبار ولا تطابق النسخة الحالية</x:v>
      </x:c>
      <x:c r="R58" s="39" t="str">
        <x:v>e3f03e36a55ea19ad8e50326fcf2681a5c8c8b859b8c7babae720af2c745ed5c</x:v>
      </x:c>
    </x:row>
    <x:row r="59" ht="36" hidden="0" customHeight="1">
      <x:c r="A59" s="22" t="str">
        <x:v>IMG-L-054</x:v>
      </x:c>
      <x:c r="B59" s="16" t="str">
        <x:v>شاشات الفيديو التعليمية داخل المختبر</x:v>
      </x:c>
      <x:c r="C59" s="16" t="str">
        <x:v>لقطة/مادة بصرية؛ النوع في الوصف</x:v>
      </x:c>
      <x:c r="D59" s="16" t="str">
        <x:v>images.zip</x:v>
      </x:c>
      <x:c r="E59" s="16" t="str">
        <x:v>images/WhatsApp Image 2026-07-24 at 11.46.42.jpeg</x:v>
      </x:c>
      <x:c r="F59" s="16" t="str">
        <x:v>images/WhatsApp Image 2026-07-24 at 11.46.42.jpeg</x:v>
      </x:c>
      <x:c r="G59" s="28" t="n">
        <x:v>1600</x:v>
      </x:c>
      <x:c r="H59" s="28" t="n">
        <x:v>900</x:v>
      </x:c>
      <x:c r="I59" s="28" t="n">
        <x:v>101146</x:v>
      </x:c>
      <x:c r="J59" s="16" t="str">
        <x:v>JPEG</x:v>
      </x:c>
      <x:c r="K59" s="16" t="str">
        <x:v>IMG-L-054</x:v>
      </x:c>
      <x:c r="L59" s="16" t="str"/>
      <x:c r="M59" s="16" t="str">
        <x:v>مرشح للانتقاء مع توثيق المصدر والإصدار</x:v>
      </x:c>
      <x:c r="N59" s="16" t="str">
        <x:v>chapters/chapter-03/index.html#section-3-8؛ evidence/index.html#solids؛ الفصل الثالث: الوسائط التعليمية؛ الفصل الرابع: الواجهات؛ ملحق دليل الاستخدام</x:v>
      </x:c>
      <x:c r="O59" s="16" t="str">
        <x:v>assets/images/img-l-054.jpeg</x:v>
      </x:c>
      <x:c r="P59" s="16" t="str">
        <x:v>شاشات الفيديو التعليمية داخل المختبر</x:v>
      </x:c>
      <x:c r="Q59" s="16" t="str">
        <x:v>صورة مرئية فقط؛ لا تثبت نتيجة اختبار ولا تطابق النسخة الحالية</x:v>
      </x:c>
      <x:c r="R59" s="40" t="str">
        <x:v>59a0b61864a0953b511f3ad2a9de4a0596515cba5c5e96e0a6e9f745211f0ef8</x:v>
      </x:c>
    </x:row>
    <x:row r="60" ht="36" hidden="0" customHeight="1">
      <x:c r="A60" s="21" t="str">
        <x:v>IMG-L-055</x:v>
      </x:c>
      <x:c r="B60" s="13" t="str">
        <x:v>شاشات الفيديو التعليمية داخل المختبر</x:v>
      </x:c>
      <x:c r="C60" s="13" t="str">
        <x:v>لقطة/مادة بصرية؛ النوع في الوصف</x:v>
      </x:c>
      <x:c r="D60" s="13" t="str">
        <x:v>images.zip</x:v>
      </x:c>
      <x:c r="E60" s="13" t="str">
        <x:v>images/WhatsApp Image 2026-07-24 at 11.46.55.jpeg</x:v>
      </x:c>
      <x:c r="F60" s="13" t="str">
        <x:v>images/WhatsApp Image 2026-07-24 at 11.46.55.jpeg</x:v>
      </x:c>
      <x:c r="G60" s="27" t="n">
        <x:v>1600</x:v>
      </x:c>
      <x:c r="H60" s="27" t="n">
        <x:v>900</x:v>
      </x:c>
      <x:c r="I60" s="27" t="n">
        <x:v>98359</x:v>
      </x:c>
      <x:c r="J60" s="13" t="str">
        <x:v>JPEG</x:v>
      </x:c>
      <x:c r="K60" s="13" t="str">
        <x:v>IMG-L-055</x:v>
      </x:c>
      <x:c r="L60" s="13" t="str"/>
      <x:c r="M60" s="13" t="str">
        <x:v>مرشح للانتقاء مع توثيق المصدر والإصدار</x:v>
      </x:c>
      <x:c r="N60" s="13" t="str">
        <x:v>chapters/chapter-03/index.html#section-3-8؛ evidence/index.html#solids؛ الفصل الثالث: الوسائط التعليمية؛ الفصل الرابع: الواجهات؛ ملحق دليل الاستخدام</x:v>
      </x:c>
      <x:c r="O60" s="13" t="str">
        <x:v>assets/images/img-l-055.jpeg</x:v>
      </x:c>
      <x:c r="P60" s="13" t="str">
        <x:v>شاشات الفيديو التعليمية داخل المختبر</x:v>
      </x:c>
      <x:c r="Q60" s="13" t="str">
        <x:v>صورة مرئية فقط؛ لا تثبت نتيجة اختبار ولا تطابق النسخة الحالية</x:v>
      </x:c>
      <x:c r="R60" s="39" t="str">
        <x:v>6137ab49315055aa4d0d3bcff79b630d489a05fb07107cbd9089036046545e12</x:v>
      </x:c>
    </x:row>
    <x:row r="61" ht="36" hidden="0" customHeight="1">
      <x:c r="A61" s="22" t="str">
        <x:v>IMG-L-056</x:v>
      </x:c>
      <x:c r="B61" s="16" t="str">
        <x:v>مختبر المجسمات وخصائصها</x:v>
      </x:c>
      <x:c r="C61" s="16" t="str">
        <x:v>لقطة/مادة بصرية؛ النوع في الوصف</x:v>
      </x:c>
      <x:c r="D61" s="16" t="str">
        <x:v>images.zip</x:v>
      </x:c>
      <x:c r="E61" s="16" t="str">
        <x:v>images/WhatsApp Image 2026-07-24 at 11.47.09.jpeg</x:v>
      </x:c>
      <x:c r="F61" s="16" t="str">
        <x:v>images/WhatsApp Image 2026-07-24 at 11.47.09.jpeg</x:v>
      </x:c>
      <x:c r="G61" s="28" t="n">
        <x:v>1600</x:v>
      </x:c>
      <x:c r="H61" s="28" t="n">
        <x:v>900</x:v>
      </x:c>
      <x:c r="I61" s="28" t="n">
        <x:v>44852</x:v>
      </x:c>
      <x:c r="J61" s="16" t="str">
        <x:v>JPEG</x:v>
      </x:c>
      <x:c r="K61" s="16" t="str">
        <x:v>IMG-L-056</x:v>
      </x:c>
      <x:c r="L61" s="16" t="str"/>
      <x:c r="M61" s="16" t="str">
        <x:v>مرشح للانتقاء مع توثيق المصدر والإصدار</x:v>
      </x:c>
      <x:c r="N61" s="16" t="str">
        <x:v>chapters/chapter-03/index.html#section-3-8؛ evidence/index.html#solids؛ الفصل الثالث: تصميم مختبر المجسمات؛ الفصل الرابع: الواجهات؛ ملحق دليل الطالب</x:v>
      </x:c>
      <x:c r="O61" s="16" t="str">
        <x:v>assets/images/img-l-056.jpeg</x:v>
      </x:c>
      <x:c r="P61" s="16" t="str">
        <x:v>مختبر المجسمات وخصائصها</x:v>
      </x:c>
      <x:c r="Q61" s="16" t="str">
        <x:v>صورة مرئية فقط؛ لا تثبت نتيجة اختبار ولا تطابق النسخة الحالية</x:v>
      </x:c>
      <x:c r="R61" s="40" t="str">
        <x:v>a86cde87c4cfc82ed8df3e69837420d3dfbce2c2ec80328950586c743aa6d264</x:v>
      </x:c>
    </x:row>
    <x:row r="62" ht="36" hidden="0" customHeight="1">
      <x:c r="A62" s="21" t="str">
        <x:v>IMG-L-057</x:v>
      </x:c>
      <x:c r="B62" s="13" t="str">
        <x:v>مختبر المجسمات وخصائصها</x:v>
      </x:c>
      <x:c r="C62" s="13" t="str">
        <x:v>لقطة/مادة بصرية؛ النوع في الوصف</x:v>
      </x:c>
      <x:c r="D62" s="13" t="str">
        <x:v>images.zip</x:v>
      </x:c>
      <x:c r="E62" s="13" t="str">
        <x:v>images/WhatsApp Image 2026-07-24 at 11.47.20.jpeg</x:v>
      </x:c>
      <x:c r="F62" s="13" t="str">
        <x:v>images/WhatsApp Image 2026-07-24 at 11.47.20.jpeg</x:v>
      </x:c>
      <x:c r="G62" s="27" t="n">
        <x:v>1600</x:v>
      </x:c>
      <x:c r="H62" s="27" t="n">
        <x:v>900</x:v>
      </x:c>
      <x:c r="I62" s="27" t="n">
        <x:v>44924</x:v>
      </x:c>
      <x:c r="J62" s="13" t="str">
        <x:v>JPEG</x:v>
      </x:c>
      <x:c r="K62" s="13" t="str">
        <x:v>IMG-L-057</x:v>
      </x:c>
      <x:c r="L62" s="13" t="str"/>
      <x:c r="M62" s="13" t="str">
        <x:v>مرشح للانتقاء مع توثيق المصدر والإصدار</x:v>
      </x:c>
      <x:c r="N62" s="13" t="str">
        <x:v>chapters/chapter-03/index.html#section-3-8؛ evidence/index.html#solids؛ الفصل الثالث: تصميم مختبر المجسمات؛ الفصل الرابع: الواجهات؛ ملحق دليل الطالب</x:v>
      </x:c>
      <x:c r="O62" s="13" t="str">
        <x:v>assets/images/img-l-057.jpeg</x:v>
      </x:c>
      <x:c r="P62" s="13" t="str">
        <x:v>مختبر المجسمات وخصائصها</x:v>
      </x:c>
      <x:c r="Q62" s="13" t="str">
        <x:v>صورة مرئية فقط؛ لا تثبت نتيجة اختبار ولا تطابق النسخة الحالية</x:v>
      </x:c>
      <x:c r="R62" s="39" t="str">
        <x:v>7ebc0bec72bf314916e35102c2421f6186210e8c1be5a492878eaa719939624c</x:v>
      </x:c>
    </x:row>
    <x:row r="63" ht="36" hidden="0" customHeight="1">
      <x:c r="A63" s="22" t="str">
        <x:v>IMG-L-058</x:v>
      </x:c>
      <x:c r="B63" s="16" t="str">
        <x:v>مختبر المجسمات وخصائصها</x:v>
      </x:c>
      <x:c r="C63" s="16" t="str">
        <x:v>لقطة/مادة بصرية؛ النوع في الوصف</x:v>
      </x:c>
      <x:c r="D63" s="16" t="str">
        <x:v>images.zip</x:v>
      </x:c>
      <x:c r="E63" s="16" t="str">
        <x:v>images/WhatsApp Image 2026-07-24 at 11.47.33.jpeg</x:v>
      </x:c>
      <x:c r="F63" s="16" t="str">
        <x:v>images/WhatsApp Image 2026-07-24 at 11.47.33.jpeg</x:v>
      </x:c>
      <x:c r="G63" s="28" t="n">
        <x:v>1600</x:v>
      </x:c>
      <x:c r="H63" s="28" t="n">
        <x:v>900</x:v>
      </x:c>
      <x:c r="I63" s="28" t="n">
        <x:v>38721</x:v>
      </x:c>
      <x:c r="J63" s="16" t="str">
        <x:v>JPEG</x:v>
      </x:c>
      <x:c r="K63" s="16" t="str">
        <x:v>IMG-L-058</x:v>
      </x:c>
      <x:c r="L63" s="16" t="str"/>
      <x:c r="M63" s="16" t="str">
        <x:v>مرشح للانتقاء مع توثيق المصدر والإصدار</x:v>
      </x:c>
      <x:c r="N63" s="16" t="str">
        <x:v>chapters/chapter-03/index.html#section-3-8؛ evidence/index.html#solids؛ الفصل الثالث: تصميم مختبر المجسمات؛ الفصل الرابع: الواجهات؛ ملحق دليل الطالب</x:v>
      </x:c>
      <x:c r="O63" s="16" t="str">
        <x:v>assets/images/img-l-058.jpeg</x:v>
      </x:c>
      <x:c r="P63" s="16" t="str">
        <x:v>مختبر المجسمات وخصائصها</x:v>
      </x:c>
      <x:c r="Q63" s="16" t="str">
        <x:v>صورة مرئية فقط؛ لا تثبت نتيجة اختبار ولا تطابق النسخة الحالية</x:v>
      </x:c>
      <x:c r="R63" s="40" t="str">
        <x:v>311d2ad2b8bfc546c21546e8d5cb65f189b4ca7b1bb73fd53ca08dfe2fc034a3</x:v>
      </x:c>
    </x:row>
    <x:row r="64" ht="36" hidden="0" customHeight="1">
      <x:c r="A64" s="21" t="str">
        <x:v>IMG-L-059</x:v>
      </x:c>
      <x:c r="B64" s="13" t="str">
        <x:v>شاشات الفيديو التعليمية داخل المختبر</x:v>
      </x:c>
      <x:c r="C64" s="13" t="str">
        <x:v>لقطة/مادة بصرية؛ النوع في الوصف</x:v>
      </x:c>
      <x:c r="D64" s="13" t="str">
        <x:v>images.zip</x:v>
      </x:c>
      <x:c r="E64" s="13" t="str">
        <x:v>images/WhatsApp Image 2026-07-24 at 11.48.20.jpeg</x:v>
      </x:c>
      <x:c r="F64" s="13" t="str">
        <x:v>images/WhatsApp Image 2026-07-24 at 11.48.20.jpeg</x:v>
      </x:c>
      <x:c r="G64" s="27" t="n">
        <x:v>1600</x:v>
      </x:c>
      <x:c r="H64" s="27" t="n">
        <x:v>900</x:v>
      </x:c>
      <x:c r="I64" s="27" t="n">
        <x:v>60252</x:v>
      </x:c>
      <x:c r="J64" s="13" t="str">
        <x:v>JPEG</x:v>
      </x:c>
      <x:c r="K64" s="13" t="str">
        <x:v>IMG-L-045</x:v>
      </x:c>
      <x:c r="L64" s="13" t="str">
        <x:v>IMG-L-045</x:v>
      </x:c>
      <x:c r="M64" s="13" t="str">
        <x:v>مرشح للانتقاء مع توثيق المصدر والإصدار</x:v>
      </x:c>
      <x:c r="N64" s="13" t="str">
        <x:v>chapters/chapter-03/index.html#section-3-8؛ evidence/index.html#solids؛ الفصل الثالث: الوسائط التعليمية؛ الفصل الرابع: الواجهات؛ ملحق دليل الاستخدام</x:v>
      </x:c>
      <x:c r="O64" s="13" t="str">
        <x:v>assets/images/img-l-045.jpeg</x:v>
      </x:c>
      <x:c r="P64" s="13" t="str">
        <x:v>شاشات الفيديو التعليمية داخل المختبر</x:v>
      </x:c>
      <x:c r="Q64" s="13" t="str">
        <x:v>صورة مرئية فقط؛ لا تثبت نتيجة اختبار ولا تطابق النسخة الحالية</x:v>
      </x:c>
      <x:c r="R64" s="39" t="str">
        <x:v>53191b1753d48b6db20dd6175c51a531ff05c68a6e2766d2f1aec9803695fb4b</x:v>
      </x:c>
    </x:row>
    <x:row r="65" ht="36" hidden="0" customHeight="1">
      <x:c r="A65" s="22" t="str">
        <x:v>IMG-L-060</x:v>
      </x:c>
      <x:c r="B65" s="16" t="str">
        <x:v>شاشات الفيديو التعليمية داخل المختبر</x:v>
      </x:c>
      <x:c r="C65" s="16" t="str">
        <x:v>لقطة/مادة بصرية؛ النوع في الوصف</x:v>
      </x:c>
      <x:c r="D65" s="16" t="str">
        <x:v>images.zip</x:v>
      </x:c>
      <x:c r="E65" s="16" t="str">
        <x:v>images/WhatsApp Image 2026-07-26 at 17.51.06.jpeg</x:v>
      </x:c>
      <x:c r="F65" s="16" t="str">
        <x:v>images/WhatsApp Image 2026-07-26 at 17.51.06.jpeg</x:v>
      </x:c>
      <x:c r="G65" s="28" t="n">
        <x:v>1600</x:v>
      </x:c>
      <x:c r="H65" s="28" t="n">
        <x:v>900</x:v>
      </x:c>
      <x:c r="I65" s="28" t="n">
        <x:v>81015</x:v>
      </x:c>
      <x:c r="J65" s="16" t="str">
        <x:v>JPEG</x:v>
      </x:c>
      <x:c r="K65" s="16" t="str">
        <x:v>IMG-L-050</x:v>
      </x:c>
      <x:c r="L65" s="16" t="str">
        <x:v>IMG-L-050</x:v>
      </x:c>
      <x:c r="M65" s="16" t="str">
        <x:v>مرشح للانتقاء مع توثيق المصدر والإصدار</x:v>
      </x:c>
      <x:c r="N65" s="16" t="str">
        <x:v>chapters/chapter-03/index.html#section-3-8؛ evidence/index.html#solids؛ الفصل الثالث: الوسائط التعليمية؛ الفصل الرابع: الواجهات؛ ملحق دليل الاستخدام</x:v>
      </x:c>
      <x:c r="O65" s="16" t="str">
        <x:v>assets/images/img-l-050.jpeg</x:v>
      </x:c>
      <x:c r="P65" s="16" t="str">
        <x:v>شاشات الفيديو التعليمية داخل المختبر</x:v>
      </x:c>
      <x:c r="Q65" s="16" t="str">
        <x:v>صورة مرئية فقط؛ لا تثبت نتيجة اختبار ولا تطابق النسخة الحالية</x:v>
      </x:c>
      <x:c r="R65" s="40" t="str">
        <x:v>cb153ee2014ae42b1c8628e7e78d79db3dded51669cbb3074664daffad638ee9</x:v>
      </x:c>
    </x:row>
    <x:row r="66" ht="36" hidden="0" customHeight="1">
      <x:c r="A66" s="21" t="str">
        <x:v>IMG-L-061</x:v>
      </x:c>
      <x:c r="B66" s="13" t="str">
        <x:v>شاشات الفيديو التعليمية داخل المختبر</x:v>
      </x:c>
      <x:c r="C66" s="13" t="str">
        <x:v>لقطة/مادة بصرية؛ النوع في الوصف</x:v>
      </x:c>
      <x:c r="D66" s="13" t="str">
        <x:v>images.zip</x:v>
      </x:c>
      <x:c r="E66" s="13" t="str">
        <x:v>images/WhatsApp Image 2026-07-26 at 17.51.09.jpeg</x:v>
      </x:c>
      <x:c r="F66" s="13" t="str">
        <x:v>images/WhatsApp Image 2026-07-26 at 17.51.09.jpeg</x:v>
      </x:c>
      <x:c r="G66" s="27" t="n">
        <x:v>1600</x:v>
      </x:c>
      <x:c r="H66" s="27" t="n">
        <x:v>900</x:v>
      </x:c>
      <x:c r="I66" s="27" t="n">
        <x:v>99610</x:v>
      </x:c>
      <x:c r="J66" s="13" t="str">
        <x:v>JPEG</x:v>
      </x:c>
      <x:c r="K66" s="13" t="str">
        <x:v>IMG-L-052</x:v>
      </x:c>
      <x:c r="L66" s="13" t="str">
        <x:v>IMG-L-052</x:v>
      </x:c>
      <x:c r="M66" s="13" t="str">
        <x:v>مرشح للانتقاء مع توثيق المصدر والإصدار</x:v>
      </x:c>
      <x:c r="N66" s="13" t="str">
        <x:v>chapters/chapter-03/index.html#section-3-8؛ evidence/index.html#solids؛ الفصل الثالث: الوسائط التعليمية؛ الفصل الرابع: الواجهات؛ ملحق دليل الاستخدام</x:v>
      </x:c>
      <x:c r="O66" s="13" t="str">
        <x:v>assets/images/img-l-052.jpeg</x:v>
      </x:c>
      <x:c r="P66" s="13" t="str">
        <x:v>شاشات الفيديو التعليمية داخل المختبر</x:v>
      </x:c>
      <x:c r="Q66" s="13" t="str">
        <x:v>صورة مرئية فقط؛ لا تثبت نتيجة اختبار ولا تطابق النسخة الحالية</x:v>
      </x:c>
      <x:c r="R66" s="39" t="str">
        <x:v>c44893ea2b1999d505a0315e873edfcf024f60f912b65fe19d71c5ea2c95d1c0</x:v>
      </x:c>
    </x:row>
    <x:row r="67" ht="36" hidden="0" customHeight="1">
      <x:c r="A67" s="22" t="str">
        <x:v>IMG-L-062</x:v>
      </x:c>
      <x:c r="B67" s="16" t="str">
        <x:v>مختبر المجسمات وخصائصها</x:v>
      </x:c>
      <x:c r="C67" s="16" t="str">
        <x:v>لقطة/مادة بصرية؛ النوع في الوصف</x:v>
      </x:c>
      <x:c r="D67" s="16" t="str">
        <x:v>images.zip</x:v>
      </x:c>
      <x:c r="E67" s="16" t="str">
        <x:v>images/WhatsApp Image 2026-07-26 at 17.51.10.jpeg</x:v>
      </x:c>
      <x:c r="F67" s="16" t="str">
        <x:v>images/WhatsApp Image 2026-07-26 at 17.51.10.jpeg</x:v>
      </x:c>
      <x:c r="G67" s="28" t="n">
        <x:v>1600</x:v>
      </x:c>
      <x:c r="H67" s="28" t="n">
        <x:v>900</x:v>
      </x:c>
      <x:c r="I67" s="28" t="n">
        <x:v>48347</x:v>
      </x:c>
      <x:c r="J67" s="16" t="str">
        <x:v>JPEG</x:v>
      </x:c>
      <x:c r="K67" s="16" t="str">
        <x:v>IMG-L-062</x:v>
      </x:c>
      <x:c r="L67" s="16" t="str"/>
      <x:c r="M67" s="16" t="str">
        <x:v>مرشح للانتقاء مع توثيق المصدر والإصدار</x:v>
      </x:c>
      <x:c r="N67" s="16" t="str">
        <x:v>chapters/chapter-03/index.html#section-3-8؛ evidence/index.html#solids؛ الفصل الثالث: تصميم مختبر المجسمات؛ الفصل الرابع: الواجهات؛ ملحق دليل الطالب</x:v>
      </x:c>
      <x:c r="O67" s="16" t="str">
        <x:v>assets/images/img-l-062.jpeg</x:v>
      </x:c>
      <x:c r="P67" s="16" t="str">
        <x:v>مختبر المجسمات وخصائصها</x:v>
      </x:c>
      <x:c r="Q67" s="16" t="str">
        <x:v>صورة مرئية فقط؛ لا تثبت نتيجة اختبار ولا تطابق النسخة الحالية</x:v>
      </x:c>
      <x:c r="R67" s="40" t="str">
        <x:v>90645c3076d4faffbfa74e466d203de24fac14170627c4613b5602357a2e36d8</x:v>
      </x:c>
    </x:row>
    <x:row r="68" ht="36" hidden="0" customHeight="1">
      <x:c r="A68" s="21" t="str">
        <x:v>IMG-L-063</x:v>
      </x:c>
      <x:c r="B68" s="13" t="str">
        <x:v>واجهات النظارة وإعداداتها</x:v>
      </x:c>
      <x:c r="C68" s="13" t="str">
        <x:v>لقطة/مادة بصرية؛ النوع في الوصف</x:v>
      </x:c>
      <x:c r="D68" s="13" t="str">
        <x:v>images.zip</x:v>
      </x:c>
      <x:c r="E68" s="13" t="str">
        <x:v>images/WhatsApp Image 2026-07-26 at 17.51.11.jpeg</x:v>
      </x:c>
      <x:c r="F68" s="13" t="str">
        <x:v>images/WhatsApp Image 2026-07-26 at 17.51.11.jpeg</x:v>
      </x:c>
      <x:c r="G68" s="27" t="n">
        <x:v>1600</x:v>
      </x:c>
      <x:c r="H68" s="27" t="n">
        <x:v>900</x:v>
      </x:c>
      <x:c r="I68" s="27" t="n">
        <x:v>80216</x:v>
      </x:c>
      <x:c r="J68" s="13" t="str">
        <x:v>JPEG</x:v>
      </x:c>
      <x:c r="K68" s="13" t="str">
        <x:v>IMG-L-063</x:v>
      </x:c>
      <x:c r="L68" s="13" t="str"/>
      <x:c r="M68" s="13" t="str">
        <x:v>مراجعة بيانات الحساب والعناصر غير المرتبطة ثم اقتصاص/طمس عند الحاجة</x:v>
      </x:c>
      <x:c r="N68" s="13" t="str">
        <x:v>versions/index.html#historical-evidence؛ ملحق الإعداد والتشغيل عند الحاجة؛ انتقاء وطمس بيانات الحساب قبل النشر</x:v>
      </x:c>
      <x:c r="O68" s="13" t="str">
        <x:v>assets/images/img-l-063.jpeg</x:v>
      </x:c>
      <x:c r="P68" s="13" t="str">
        <x:v>واجهات النظارة وإعداداتها</x:v>
      </x:c>
      <x:c r="Q68" s="13" t="str">
        <x:v>صورة مرئية فقط؛ لا تثبت نتيجة اختبار ولا تطابق النسخة الحالية</x:v>
      </x:c>
      <x:c r="R68" s="39" t="str">
        <x:v>1ec8113028ada268ea72369f7d7c07ce6afea142f6765a574915005d3395d3ef</x:v>
      </x:c>
    </x:row>
    <x:row r="69" ht="36" hidden="0" customHeight="1">
      <x:c r="A69" s="22" t="str">
        <x:v>IMG-L-064</x:v>
      </x:c>
      <x:c r="B69" s="16" t="str">
        <x:v>مختبر المجسمات وخصائصها</x:v>
      </x:c>
      <x:c r="C69" s="16" t="str">
        <x:v>لقطة/مادة بصرية؛ النوع في الوصف</x:v>
      </x:c>
      <x:c r="D69" s="16" t="str">
        <x:v>images.zip</x:v>
      </x:c>
      <x:c r="E69" s="16" t="str">
        <x:v>images/WhatsApp Image 2026-07-26 at 17.51.12.jpeg</x:v>
      </x:c>
      <x:c r="F69" s="16" t="str">
        <x:v>images/WhatsApp Image 2026-07-26 at 17.51.12.jpeg</x:v>
      </x:c>
      <x:c r="G69" s="28" t="n">
        <x:v>1600</x:v>
      </x:c>
      <x:c r="H69" s="28" t="n">
        <x:v>900</x:v>
      </x:c>
      <x:c r="I69" s="28" t="n">
        <x:v>47812</x:v>
      </x:c>
      <x:c r="J69" s="16" t="str">
        <x:v>JPEG</x:v>
      </x:c>
      <x:c r="K69" s="16" t="str">
        <x:v>IMG-L-064</x:v>
      </x:c>
      <x:c r="L69" s="16" t="str"/>
      <x:c r="M69" s="16" t="str">
        <x:v>مرشح للانتقاء مع توثيق المصدر والإصدار</x:v>
      </x:c>
      <x:c r="N69" s="16" t="str">
        <x:v>chapters/chapter-03/index.html#section-3-8؛ evidence/index.html#solids؛ الفصل الثالث: تصميم مختبر المجسمات؛ الفصل الرابع: الواجهات؛ ملحق دليل الطالب</x:v>
      </x:c>
      <x:c r="O69" s="16" t="str">
        <x:v>assets/images/img-l-064.jpeg</x:v>
      </x:c>
      <x:c r="P69" s="16" t="str">
        <x:v>مختبر المجسمات وخصائصها</x:v>
      </x:c>
      <x:c r="Q69" s="16" t="str">
        <x:v>صورة مرئية فقط؛ لا تثبت نتيجة اختبار ولا تطابق النسخة الحالية</x:v>
      </x:c>
      <x:c r="R69" s="40" t="str">
        <x:v>1f21984c5af59c3e0bab7346c9ef044ef287c276b5febc314d00c7546707033e</x:v>
      </x:c>
    </x:row>
    <x:row r="70" ht="36" hidden="0" customHeight="1">
      <x:c r="A70" s="21" t="str">
        <x:v>IMG-L-065</x:v>
      </x:c>
      <x:c r="B70" s="13" t="str">
        <x:v>مختبر المجسمات وخصائصها</x:v>
      </x:c>
      <x:c r="C70" s="13" t="str">
        <x:v>لقطة/مادة بصرية؛ النوع في الوصف</x:v>
      </x:c>
      <x:c r="D70" s="13" t="str">
        <x:v>images.zip</x:v>
      </x:c>
      <x:c r="E70" s="13" t="str">
        <x:v>images/WhatsApp Image 2026-07-26 at 17.51.13.jpeg</x:v>
      </x:c>
      <x:c r="F70" s="13" t="str">
        <x:v>images/WhatsApp Image 2026-07-26 at 17.51.13.jpeg</x:v>
      </x:c>
      <x:c r="G70" s="27" t="n">
        <x:v>1600</x:v>
      </x:c>
      <x:c r="H70" s="27" t="n">
        <x:v>900</x:v>
      </x:c>
      <x:c r="I70" s="27" t="n">
        <x:v>48632</x:v>
      </x:c>
      <x:c r="J70" s="13" t="str">
        <x:v>JPEG</x:v>
      </x:c>
      <x:c r="K70" s="13" t="str">
        <x:v>IMG-L-065</x:v>
      </x:c>
      <x:c r="L70" s="13" t="str"/>
      <x:c r="M70" s="13" t="str">
        <x:v>مرشح للانتقاء مع توثيق المصدر والإصدار</x:v>
      </x:c>
      <x:c r="N70" s="13" t="str">
        <x:v>chapters/chapter-03/index.html#section-3-8؛ evidence/index.html#solids؛ الفصل الثالث: تصميم مختبر المجسمات؛ الفصل الرابع: الواجهات؛ ملحق دليل الطالب</x:v>
      </x:c>
      <x:c r="O70" s="13" t="str">
        <x:v>assets/images/img-l-065.jpeg</x:v>
      </x:c>
      <x:c r="P70" s="13" t="str">
        <x:v>مختبر المجسمات وخصائصها</x:v>
      </x:c>
      <x:c r="Q70" s="13" t="str">
        <x:v>صورة مرئية فقط؛ لا تثبت نتيجة اختبار ولا تطابق النسخة الحالية</x:v>
      </x:c>
      <x:c r="R70" s="39" t="str">
        <x:v>a561778f2ffe1ad60403ad49382180459dcfbe81724bcbaf084a177da3548315</x:v>
      </x:c>
    </x:row>
    <x:row r="71" ht="36" hidden="0" customHeight="1">
      <x:c r="A71" s="22" t="str">
        <x:v>IMG-L-066</x:v>
      </x:c>
      <x:c r="B71" s="16" t="str">
        <x:v>التهيئة والترحيب والتنقل</x:v>
      </x:c>
      <x:c r="C71" s="16" t="str">
        <x:v>لقطة/مادة بصرية؛ النوع في الوصف</x:v>
      </x:c>
      <x:c r="D71" s="16" t="str">
        <x:v>images.zip</x:v>
      </x:c>
      <x:c r="E71" s="16" t="str">
        <x:v>images/WhatsApp Image 2026-07-26 at 17.53.36.jpeg</x:v>
      </x:c>
      <x:c r="F71" s="16" t="str">
        <x:v>images/WhatsApp Image 2026-07-26 at 17.53.36.jpeg</x:v>
      </x:c>
      <x:c r="G71" s="28" t="n">
        <x:v>1600</x:v>
      </x:c>
      <x:c r="H71" s="28" t="n">
        <x:v>900</x:v>
      </x:c>
      <x:c r="I71" s="28" t="n">
        <x:v>99156</x:v>
      </x:c>
      <x:c r="J71" s="16" t="str">
        <x:v>JPEG</x:v>
      </x:c>
      <x:c r="K71" s="16" t="str">
        <x:v>IMG-L-066</x:v>
      </x:c>
      <x:c r="L71" s="16" t="str"/>
      <x:c r="M71" s="16" t="str">
        <x:v>مرشح للانتقاء مع توثيق المصدر والإصدار</x:v>
      </x:c>
      <x:c r="N71" s="16" t="str">
        <x:v>chapters/chapter-03/index.html#section-3-9-1؛ development/index.html#before-merge؛ الفصل الثالث: تنظيم المراحل والتفاعل؛ الفصل الرابع: الواجهات؛ ملحق دليل الطالب</x:v>
      </x:c>
      <x:c r="O71" s="16" t="str">
        <x:v>assets/images/img-l-066.jpeg</x:v>
      </x:c>
      <x:c r="P71" s="16" t="str">
        <x:v>التهيئة والترحيب والتنقل</x:v>
      </x:c>
      <x:c r="Q71" s="16" t="str">
        <x:v>صورة مرئية فقط؛ لا تثبت نتيجة اختبار ولا تطابق النسخة الحالية</x:v>
      </x:c>
      <x:c r="R71" s="40" t="str">
        <x:v>5ba8a31751e33f29dd9159316f4eded6feac1666132163e2aac141ce441fdeb7</x:v>
      </x:c>
    </x:row>
    <x:row r="72" ht="36" hidden="0" customHeight="1">
      <x:c r="A72" s="21" t="str">
        <x:v>IMG-L-067</x:v>
      </x:c>
      <x:c r="B72" s="13" t="str">
        <x:v>التهيئة والترحيب والتنقل</x:v>
      </x:c>
      <x:c r="C72" s="13" t="str">
        <x:v>لقطة/مادة بصرية؛ النوع في الوصف</x:v>
      </x:c>
      <x:c r="D72" s="13" t="str">
        <x:v>images.zip</x:v>
      </x:c>
      <x:c r="E72" s="13" t="str">
        <x:v>images/WhatsApp Image 2026-07-26 at 17.53.50.jpeg</x:v>
      </x:c>
      <x:c r="F72" s="13" t="str">
        <x:v>images/WhatsApp Image 2026-07-26 at 17.53.50.jpeg</x:v>
      </x:c>
      <x:c r="G72" s="27" t="n">
        <x:v>1600</x:v>
      </x:c>
      <x:c r="H72" s="27" t="n">
        <x:v>900</x:v>
      </x:c>
      <x:c r="I72" s="27" t="n">
        <x:v>94311</x:v>
      </x:c>
      <x:c r="J72" s="13" t="str">
        <x:v>JPEG</x:v>
      </x:c>
      <x:c r="K72" s="13" t="str">
        <x:v>IMG-L-067</x:v>
      </x:c>
      <x:c r="L72" s="13" t="str"/>
      <x:c r="M72" s="13" t="str">
        <x:v>مرشح للانتقاء مع توثيق المصدر والإصدار</x:v>
      </x:c>
      <x:c r="N72" s="13" t="str">
        <x:v>chapters/chapter-03/index.html#section-3-9-1؛ development/index.html#before-merge؛ الفصل الثالث: تنظيم المراحل والتفاعل؛ الفصل الرابع: الواجهات؛ ملحق دليل الطالب</x:v>
      </x:c>
      <x:c r="O72" s="13" t="str">
        <x:v>assets/images/img-l-067.jpeg</x:v>
      </x:c>
      <x:c r="P72" s="13" t="str">
        <x:v>التهيئة والترحيب والتنقل</x:v>
      </x:c>
      <x:c r="Q72" s="13" t="str">
        <x:v>صورة مرئية فقط؛ لا تثبت نتيجة اختبار ولا تطابق النسخة الحالية</x:v>
      </x:c>
      <x:c r="R72" s="39" t="str">
        <x:v>707a21b525035e8f8abddd6c46a70f86645ae58de805bc4d9b3de0dbb3d57484</x:v>
      </x:c>
    </x:row>
    <x:row r="73" ht="36" hidden="0" customHeight="1">
      <x:c r="A73" s="22" t="str">
        <x:v>IMG-L-068</x:v>
      </x:c>
      <x:c r="B73" s="16" t="str">
        <x:v>التهيئة والترحيب والتنقل</x:v>
      </x:c>
      <x:c r="C73" s="16" t="str">
        <x:v>لقطة/مادة بصرية؛ النوع في الوصف</x:v>
      </x:c>
      <x:c r="D73" s="16" t="str">
        <x:v>images.zip</x:v>
      </x:c>
      <x:c r="E73" s="16" t="str">
        <x:v>images/WhatsApp Image 2026-07-26 at 17.54.01.jpeg</x:v>
      </x:c>
      <x:c r="F73" s="16" t="str">
        <x:v>images/WhatsApp Image 2026-07-26 at 17.54.01.jpeg</x:v>
      </x:c>
      <x:c r="G73" s="28" t="n">
        <x:v>1600</x:v>
      </x:c>
      <x:c r="H73" s="28" t="n">
        <x:v>900</x:v>
      </x:c>
      <x:c r="I73" s="28" t="n">
        <x:v>96999</x:v>
      </x:c>
      <x:c r="J73" s="16" t="str">
        <x:v>JPEG</x:v>
      </x:c>
      <x:c r="K73" s="16" t="str">
        <x:v>IMG-L-068</x:v>
      </x:c>
      <x:c r="L73" s="16" t="str"/>
      <x:c r="M73" s="16" t="str">
        <x:v>مرشح للانتقاء مع توثيق المصدر والإصدار</x:v>
      </x:c>
      <x:c r="N73" s="16" t="str">
        <x:v>chapters/chapter-03/index.html#section-3-9-1؛ development/index.html#before-merge؛ الفصل الثالث: تنظيم المراحل والتفاعل؛ الفصل الرابع: الواجهات؛ ملحق دليل الطالب</x:v>
      </x:c>
      <x:c r="O73" s="16" t="str">
        <x:v>assets/images/img-l-068.jpeg</x:v>
      </x:c>
      <x:c r="P73" s="16" t="str">
        <x:v>التهيئة والترحيب والتنقل</x:v>
      </x:c>
      <x:c r="Q73" s="16" t="str">
        <x:v>صورة مرئية فقط؛ لا تثبت نتيجة اختبار ولا تطابق النسخة الحالية</x:v>
      </x:c>
      <x:c r="R73" s="40" t="str">
        <x:v>3ce5766c330ed47772a30938fa1a3dacfaedeb34eb1c3091fdb666101b0707a8</x:v>
      </x:c>
    </x:row>
    <x:row r="74" ht="36" hidden="0" customHeight="1">
      <x:c r="A74" s="21" t="str">
        <x:v>IMG-L-069</x:v>
      </x:c>
      <x:c r="B74" s="13" t="str">
        <x:v>التهيئة والترحيب والتنقل</x:v>
      </x:c>
      <x:c r="C74" s="13" t="str">
        <x:v>لقطة/مادة بصرية؛ النوع في الوصف</x:v>
      </x:c>
      <x:c r="D74" s="13" t="str">
        <x:v>images.zip</x:v>
      </x:c>
      <x:c r="E74" s="13" t="str">
        <x:v>images/WhatsApp Image 2026-07-26 at 17.56.49.jpeg</x:v>
      </x:c>
      <x:c r="F74" s="13" t="str">
        <x:v>images/WhatsApp Image 2026-07-26 at 17.56.49.jpeg</x:v>
      </x:c>
      <x:c r="G74" s="27" t="n">
        <x:v>1600</x:v>
      </x:c>
      <x:c r="H74" s="27" t="n">
        <x:v>900</x:v>
      </x:c>
      <x:c r="I74" s="27" t="n">
        <x:v>82396</x:v>
      </x:c>
      <x:c r="J74" s="13" t="str">
        <x:v>JPEG</x:v>
      </x:c>
      <x:c r="K74" s="13" t="str">
        <x:v>IMG-L-069</x:v>
      </x:c>
      <x:c r="L74" s="13" t="str"/>
      <x:c r="M74" s="13" t="str">
        <x:v>مرشح للانتقاء مع توثيق المصدر والإصدار</x:v>
      </x:c>
      <x:c r="N74" s="13" t="str">
        <x:v>chapters/chapter-03/index.html#section-3-9-1؛ development/index.html#before-merge؛ الفصل الثالث: تنظيم المراحل والتفاعل؛ الفصل الرابع: الواجهات؛ ملحق دليل الطالب</x:v>
      </x:c>
      <x:c r="O74" s="13" t="str">
        <x:v>assets/images/img-l-069.jpeg</x:v>
      </x:c>
      <x:c r="P74" s="13" t="str">
        <x:v>التهيئة والترحيب والتنقل</x:v>
      </x:c>
      <x:c r="Q74" s="13" t="str">
        <x:v>صورة مرئية فقط؛ لا تثبت نتيجة اختبار ولا تطابق النسخة الحالية</x:v>
      </x:c>
      <x:c r="R74" s="39" t="str">
        <x:v>d9259d2643a4ebec17e3959c75fa2e992dced9866bd75b92205a4fbc1b5420e4</x:v>
      </x:c>
    </x:row>
    <x:row r="75" ht="36" hidden="0" customHeight="1">
      <x:c r="A75" s="22" t="str">
        <x:v>IMG-L-070</x:v>
      </x:c>
      <x:c r="B75" s="16" t="str">
        <x:v>التهيئة والترحيب والتنقل</x:v>
      </x:c>
      <x:c r="C75" s="16" t="str">
        <x:v>لقطة/مادة بصرية؛ النوع في الوصف</x:v>
      </x:c>
      <x:c r="D75" s="16" t="str">
        <x:v>images.zip</x:v>
      </x:c>
      <x:c r="E75" s="16" t="str">
        <x:v>images/WhatsApp Image 2026-07-26 at 17.57.00.jpeg</x:v>
      </x:c>
      <x:c r="F75" s="16" t="str">
        <x:v>images/WhatsApp Image 2026-07-26 at 17.57.00.jpeg</x:v>
      </x:c>
      <x:c r="G75" s="28" t="n">
        <x:v>1600</x:v>
      </x:c>
      <x:c r="H75" s="28" t="n">
        <x:v>900</x:v>
      </x:c>
      <x:c r="I75" s="28" t="n">
        <x:v>83103</x:v>
      </x:c>
      <x:c r="J75" s="16" t="str">
        <x:v>JPEG</x:v>
      </x:c>
      <x:c r="K75" s="16" t="str">
        <x:v>IMG-L-070</x:v>
      </x:c>
      <x:c r="L75" s="16" t="str"/>
      <x:c r="M75" s="16" t="str">
        <x:v>مرشح للانتقاء مع توثيق المصدر والإصدار</x:v>
      </x:c>
      <x:c r="N75" s="16" t="str">
        <x:v>chapters/chapter-03/index.html#section-3-9-1؛ development/index.html#before-merge؛ الفصل الثالث: تنظيم المراحل والتفاعل؛ الفصل الرابع: الواجهات؛ ملحق دليل الطالب</x:v>
      </x:c>
      <x:c r="O75" s="16" t="str">
        <x:v>assets/images/img-l-070.jpeg</x:v>
      </x:c>
      <x:c r="P75" s="16" t="str">
        <x:v>التهيئة والترحيب والتنقل</x:v>
      </x:c>
      <x:c r="Q75" s="16" t="str">
        <x:v>صورة مرئية فقط؛ لا تثبت نتيجة اختبار ولا تطابق النسخة الحالية</x:v>
      </x:c>
      <x:c r="R75" s="40" t="str">
        <x:v>01e2f693a673a95ef6739bc38d0818f8607e5fdfdfdd0a11c5ce5ddfb49a2fd3</x:v>
      </x:c>
    </x:row>
    <x:row r="76" ht="36" hidden="0" customHeight="1">
      <x:c r="A76" s="21" t="str">
        <x:v>IMG-L-071</x:v>
      </x:c>
      <x:c r="B76" s="13" t="str">
        <x:v>مختبر المجسمات وخصائصها</x:v>
      </x:c>
      <x:c r="C76" s="13" t="str">
        <x:v>لقطة/مادة بصرية؛ النوع في الوصف</x:v>
      </x:c>
      <x:c r="D76" s="13" t="str">
        <x:v>images.zip</x:v>
      </x:c>
      <x:c r="E76" s="13" t="str">
        <x:v>images/WhatsApp Image 2026-07-26 at 18.01.21.jpeg</x:v>
      </x:c>
      <x:c r="F76" s="13" t="str">
        <x:v>images/WhatsApp Image 2026-07-26 at 18.01.21.jpeg</x:v>
      </x:c>
      <x:c r="G76" s="27" t="n">
        <x:v>1600</x:v>
      </x:c>
      <x:c r="H76" s="27" t="n">
        <x:v>900</x:v>
      </x:c>
      <x:c r="I76" s="27" t="n">
        <x:v>48592</x:v>
      </x:c>
      <x:c r="J76" s="13" t="str">
        <x:v>JPEG</x:v>
      </x:c>
      <x:c r="K76" s="13" t="str">
        <x:v>IMG-L-071</x:v>
      </x:c>
      <x:c r="L76" s="13" t="str"/>
      <x:c r="M76" s="13" t="str">
        <x:v>مرشح للانتقاء مع توثيق المصدر والإصدار</x:v>
      </x:c>
      <x:c r="N76" s="13" t="str">
        <x:v>chapters/chapter-03/index.html#section-3-8؛ evidence/index.html#solids؛ الفصل الثالث: تصميم مختبر المجسمات؛ الفصل الرابع: الواجهات؛ ملحق دليل الطالب</x:v>
      </x:c>
      <x:c r="O76" s="13" t="str">
        <x:v>assets/images/img-l-071.jpeg</x:v>
      </x:c>
      <x:c r="P76" s="13" t="str">
        <x:v>مختبر المجسمات وخصائصها</x:v>
      </x:c>
      <x:c r="Q76" s="13" t="str">
        <x:v>صورة مرئية فقط؛ لا تثبت نتيجة اختبار ولا تطابق النسخة الحالية</x:v>
      </x:c>
      <x:c r="R76" s="39" t="str">
        <x:v>96d8291a2470ac41a68c3bb2e0857aa9a69339275ccdd25da2ea8f8ed34b3bd3</x:v>
      </x:c>
    </x:row>
    <x:row r="77" ht="36" hidden="0" customHeight="1">
      <x:c r="A77" s="22" t="str">
        <x:v>IMG-L-072</x:v>
      </x:c>
      <x:c r="B77" s="16" t="str">
        <x:v>مختبر المجسمات وخصائصها</x:v>
      </x:c>
      <x:c r="C77" s="16" t="str">
        <x:v>لقطة/مادة بصرية؛ النوع في الوصف</x:v>
      </x:c>
      <x:c r="D77" s="16" t="str">
        <x:v>images.zip</x:v>
      </x:c>
      <x:c r="E77" s="16" t="str">
        <x:v>images/WhatsApp Image 2026-07-26 at 18.01.36.jpeg</x:v>
      </x:c>
      <x:c r="F77" s="16" t="str">
        <x:v>images/WhatsApp Image 2026-07-26 at 18.01.36.jpeg</x:v>
      </x:c>
      <x:c r="G77" s="28" t="n">
        <x:v>1600</x:v>
      </x:c>
      <x:c r="H77" s="28" t="n">
        <x:v>900</x:v>
      </x:c>
      <x:c r="I77" s="28" t="n">
        <x:v>48495</x:v>
      </x:c>
      <x:c r="J77" s="16" t="str">
        <x:v>JPEG</x:v>
      </x:c>
      <x:c r="K77" s="16" t="str">
        <x:v>IMG-L-072</x:v>
      </x:c>
      <x:c r="L77" s="16" t="str"/>
      <x:c r="M77" s="16" t="str">
        <x:v>مرشح للانتقاء مع توثيق المصدر والإصدار</x:v>
      </x:c>
      <x:c r="N77" s="16" t="str">
        <x:v>chapters/chapter-03/index.html#section-3-8؛ evidence/index.html#solids؛ الفصل الثالث: تصميم مختبر المجسمات؛ الفصل الرابع: الواجهات؛ ملحق دليل الطالب</x:v>
      </x:c>
      <x:c r="O77" s="16" t="str">
        <x:v>assets/images/img-l-072.jpeg</x:v>
      </x:c>
      <x:c r="P77" s="16" t="str">
        <x:v>مختبر المجسمات وخصائصها</x:v>
      </x:c>
      <x:c r="Q77" s="16" t="str">
        <x:v>صورة مرئية فقط؛ لا تثبت نتيجة اختبار ولا تطابق النسخة الحالية</x:v>
      </x:c>
      <x:c r="R77" s="40" t="str">
        <x:v>b5bbd789fd3fa4b57ee8cd3160cf9eec9542d6faf8b6de5c4808689473db4ff2</x:v>
      </x:c>
    </x:row>
    <x:row r="78" ht="36" hidden="0" customHeight="1">
      <x:c r="A78" s="21" t="str">
        <x:v>IMG-L-073</x:v>
      </x:c>
      <x:c r="B78" s="13" t="str">
        <x:v>واجهات النظارة وإعداداتها</x:v>
      </x:c>
      <x:c r="C78" s="13" t="str">
        <x:v>لقطة/مادة بصرية؛ النوع في الوصف</x:v>
      </x:c>
      <x:c r="D78" s="13" t="str">
        <x:v>images.zip</x:v>
      </x:c>
      <x:c r="E78" s="13" t="str">
        <x:v>images/WhatsApp Image 2026-07-28 at 13.54.03.jpeg</x:v>
      </x:c>
      <x:c r="F78" s="13" t="str">
        <x:v>images/WhatsApp Image 2026-07-28 at 13.54.03.jpeg</x:v>
      </x:c>
      <x:c r="G78" s="27" t="n">
        <x:v>1600</x:v>
      </x:c>
      <x:c r="H78" s="27" t="n">
        <x:v>900</x:v>
      </x:c>
      <x:c r="I78" s="27" t="n">
        <x:v>143707</x:v>
      </x:c>
      <x:c r="J78" s="13" t="str">
        <x:v>JPEG</x:v>
      </x:c>
      <x:c r="K78" s="13" t="str">
        <x:v>IMG-L-073</x:v>
      </x:c>
      <x:c r="L78" s="13" t="str"/>
      <x:c r="M78" s="13" t="str">
        <x:v>مراجعة بيانات الحساب والعناصر غير المرتبطة ثم اقتصاص/طمس عند الحاجة</x:v>
      </x:c>
      <x:c r="N78" s="13" t="str">
        <x:v>versions/index.html#historical-evidence؛ ملحق الإعداد والتشغيل عند الحاجة؛ انتقاء وطمس بيانات الحساب قبل النشر</x:v>
      </x:c>
      <x:c r="O78" s="13" t="str">
        <x:v>assets/images/img-l-073.jpeg</x:v>
      </x:c>
      <x:c r="P78" s="13" t="str">
        <x:v>واجهات النظارة وإعداداتها</x:v>
      </x:c>
      <x:c r="Q78" s="13" t="str">
        <x:v>صورة مرئية فقط؛ لا تثبت نتيجة اختبار ولا تطابق النسخة الحالية</x:v>
      </x:c>
      <x:c r="R78" s="39" t="str">
        <x:v>c120bd00446480fe831493ac5546c59c5cea9b6aacde935ef3463185d26eb5f5</x:v>
      </x:c>
    </x:row>
    <x:row r="79" ht="36" hidden="0" customHeight="1">
      <x:c r="A79" s="22" t="str">
        <x:v>IMG-L-074</x:v>
      </x:c>
      <x:c r="B79" s="16" t="str">
        <x:v>واجهات النظارة وإعداداتها</x:v>
      </x:c>
      <x:c r="C79" s="16" t="str">
        <x:v>لقطة/مادة بصرية؛ النوع في الوصف</x:v>
      </x:c>
      <x:c r="D79" s="16" t="str">
        <x:v>images.zip</x:v>
      </x:c>
      <x:c r="E79" s="16" t="str">
        <x:v>images/WhatsApp Image 2026-07-28 at 14.00.11.jpeg</x:v>
      </x:c>
      <x:c r="F79" s="16" t="str">
        <x:v>images/WhatsApp Image 2026-07-28 at 14.00.11.jpeg</x:v>
      </x:c>
      <x:c r="G79" s="28" t="n">
        <x:v>1600</x:v>
      </x:c>
      <x:c r="H79" s="28" t="n">
        <x:v>900</x:v>
      </x:c>
      <x:c r="I79" s="28" t="n">
        <x:v>98743</x:v>
      </x:c>
      <x:c r="J79" s="16" t="str">
        <x:v>JPEG</x:v>
      </x:c>
      <x:c r="K79" s="16" t="str">
        <x:v>IMG-L-074</x:v>
      </x:c>
      <x:c r="L79" s="16" t="str"/>
      <x:c r="M79" s="16" t="str">
        <x:v>مراجعة بيانات الحساب والعناصر غير المرتبطة ثم اقتصاص/طمس عند الحاجة</x:v>
      </x:c>
      <x:c r="N79" s="16" t="str">
        <x:v>versions/index.html#historical-evidence؛ ملحق الإعداد والتشغيل عند الحاجة؛ انتقاء وطمس بيانات الحساب قبل النشر</x:v>
      </x:c>
      <x:c r="O79" s="16" t="str">
        <x:v>assets/images/img-l-074.jpeg</x:v>
      </x:c>
      <x:c r="P79" s="16" t="str">
        <x:v>واجهات النظارة وإعداداتها</x:v>
      </x:c>
      <x:c r="Q79" s="16" t="str">
        <x:v>صورة مرئية فقط؛ لا تثبت نتيجة اختبار ولا تطابق النسخة الحالية</x:v>
      </x:c>
      <x:c r="R79" s="40" t="str">
        <x:v>2bc137aa9ad4c45d01a0d348360747a919cd9e1d4a4580560229dc9311422757</x:v>
      </x:c>
    </x:row>
    <x:row r="80" ht="36" hidden="0" customHeight="1">
      <x:c r="A80" s="21" t="str">
        <x:v>IMG-L-075</x:v>
      </x:c>
      <x:c r="B80" s="13" t="str">
        <x:v>واجهات النظارة وإعداداتها</x:v>
      </x:c>
      <x:c r="C80" s="13" t="str">
        <x:v>لقطة/مادة بصرية؛ النوع في الوصف</x:v>
      </x:c>
      <x:c r="D80" s="13" t="str">
        <x:v>images.zip</x:v>
      </x:c>
      <x:c r="E80" s="13" t="str">
        <x:v>images/WhatsApp Image 2026-07-28 at 14.00.24.jpeg</x:v>
      </x:c>
      <x:c r="F80" s="13" t="str">
        <x:v>images/WhatsApp Image 2026-07-28 at 14.00.24.jpeg</x:v>
      </x:c>
      <x:c r="G80" s="27" t="n">
        <x:v>1600</x:v>
      </x:c>
      <x:c r="H80" s="27" t="n">
        <x:v>900</x:v>
      </x:c>
      <x:c r="I80" s="27" t="n">
        <x:v>94118</x:v>
      </x:c>
      <x:c r="J80" s="13" t="str">
        <x:v>JPEG</x:v>
      </x:c>
      <x:c r="K80" s="13" t="str">
        <x:v>IMG-L-075</x:v>
      </x:c>
      <x:c r="L80" s="13" t="str"/>
      <x:c r="M80" s="13" t="str">
        <x:v>مراجعة بيانات الحساب والعناصر غير المرتبطة ثم اقتصاص/طمس عند الحاجة</x:v>
      </x:c>
      <x:c r="N80" s="13" t="str">
        <x:v>versions/index.html#historical-evidence؛ ملحق الإعداد والتشغيل عند الحاجة؛ انتقاء وطمس بيانات الحساب قبل النشر</x:v>
      </x:c>
      <x:c r="O80" s="13" t="str">
        <x:v>assets/images/img-l-075.jpeg</x:v>
      </x:c>
      <x:c r="P80" s="13" t="str">
        <x:v>واجهات النظارة وإعداداتها</x:v>
      </x:c>
      <x:c r="Q80" s="13" t="str">
        <x:v>صورة مرئية فقط؛ لا تثبت نتيجة اختبار ولا تطابق النسخة الحالية</x:v>
      </x:c>
      <x:c r="R80" s="39" t="str">
        <x:v>c777a7115c081227b1525be1813962d1837f64161622fa3f8b55e6cc0b5459f5</x:v>
      </x:c>
    </x:row>
    <x:row r="81" ht="36" hidden="0" customHeight="1">
      <x:c r="A81" s="22" t="str">
        <x:v>IMG-L-076</x:v>
      </x:c>
      <x:c r="B81" s="16" t="str">
        <x:v>مختبر المجسمات وخصائصها</x:v>
      </x:c>
      <x:c r="C81" s="16" t="str">
        <x:v>لقطة/مادة بصرية؛ النوع في الوصف</x:v>
      </x:c>
      <x:c r="D81" s="16" t="str">
        <x:v>images.zip</x:v>
      </x:c>
      <x:c r="E81" s="16" t="str">
        <x:v>images/WhatsApp Image 2026-07-28 at 14.15.48.jpeg</x:v>
      </x:c>
      <x:c r="F81" s="16" t="str">
        <x:v>images/WhatsApp Image 2026-07-28 at 14.15.48.jpeg</x:v>
      </x:c>
      <x:c r="G81" s="28" t="n">
        <x:v>1600</x:v>
      </x:c>
      <x:c r="H81" s="28" t="n">
        <x:v>900</x:v>
      </x:c>
      <x:c r="I81" s="28" t="n">
        <x:v>45769</x:v>
      </x:c>
      <x:c r="J81" s="16" t="str">
        <x:v>JPEG</x:v>
      </x:c>
      <x:c r="K81" s="16" t="str">
        <x:v>IMG-L-076</x:v>
      </x:c>
      <x:c r="L81" s="16" t="str"/>
      <x:c r="M81" s="16" t="str">
        <x:v>مرشح للانتقاء مع توثيق المصدر والإصدار</x:v>
      </x:c>
      <x:c r="N81" s="16" t="str">
        <x:v>chapters/chapter-03/index.html#section-3-8؛ evidence/index.html#solids؛ الفصل الثالث: تصميم مختبر المجسمات؛ الفصل الرابع: الواجهات؛ ملحق دليل الطالب</x:v>
      </x:c>
      <x:c r="O81" s="16" t="str">
        <x:v>assets/images/img-l-076.jpeg</x:v>
      </x:c>
      <x:c r="P81" s="16" t="str">
        <x:v>مختبر المجسمات وخصائصها</x:v>
      </x:c>
      <x:c r="Q81" s="16" t="str">
        <x:v>صورة مرئية فقط؛ لا تثبت نتيجة اختبار ولا تطابق النسخة الحالية</x:v>
      </x:c>
      <x:c r="R81" s="40" t="str">
        <x:v>d0b9d984b22a7a35377b1d51a010bb840a26a51f9e121784bb7a4420fe5e3fb5</x:v>
      </x:c>
    </x:row>
    <x:row r="82" ht="36" hidden="0" customHeight="1">
      <x:c r="A82" s="21" t="str">
        <x:v>IMG-L-077</x:v>
      </x:c>
      <x:c r="B82" s="13" t="str">
        <x:v>مختبر المجسمات وخصائصها</x:v>
      </x:c>
      <x:c r="C82" s="13" t="str">
        <x:v>لقطة/مادة بصرية؛ النوع في الوصف</x:v>
      </x:c>
      <x:c r="D82" s="13" t="str">
        <x:v>images.zip</x:v>
      </x:c>
      <x:c r="E82" s="13" t="str">
        <x:v>images/WhatsApp Image 2026-07-28 at 14.15.50.jpeg</x:v>
      </x:c>
      <x:c r="F82" s="13" t="str">
        <x:v>images/WhatsApp Image 2026-07-28 at 14.15.50.jpeg</x:v>
      </x:c>
      <x:c r="G82" s="27" t="n">
        <x:v>1600</x:v>
      </x:c>
      <x:c r="H82" s="27" t="n">
        <x:v>900</x:v>
      </x:c>
      <x:c r="I82" s="27" t="n">
        <x:v>47505</x:v>
      </x:c>
      <x:c r="J82" s="13" t="str">
        <x:v>JPEG</x:v>
      </x:c>
      <x:c r="K82" s="13" t="str">
        <x:v>IMG-L-077</x:v>
      </x:c>
      <x:c r="L82" s="13" t="str"/>
      <x:c r="M82" s="13" t="str">
        <x:v>مرشح للانتقاء مع توثيق المصدر والإصدار</x:v>
      </x:c>
      <x:c r="N82" s="13" t="str">
        <x:v>chapters/chapter-03/index.html#section-3-8؛ evidence/index.html#solids؛ الفصل الثالث: تصميم مختبر المجسمات؛ الفصل الرابع: الواجهات؛ ملحق دليل الطالب</x:v>
      </x:c>
      <x:c r="O82" s="13" t="str">
        <x:v>assets/images/img-l-077.jpeg</x:v>
      </x:c>
      <x:c r="P82" s="13" t="str">
        <x:v>مختبر المجسمات وخصائصها</x:v>
      </x:c>
      <x:c r="Q82" s="13" t="str">
        <x:v>صورة مرئية فقط؛ لا تثبت نتيجة اختبار ولا تطابق النسخة الحالية</x:v>
      </x:c>
      <x:c r="R82" s="39" t="str">
        <x:v>61d5f1ed709c796e515ab98c73a988e5a58d5f4d373bc94151f67d6764d272f2</x:v>
      </x:c>
    </x:row>
    <x:row r="83" ht="36" hidden="0" customHeight="1">
      <x:c r="A83" s="22" t="str">
        <x:v>IMG-L-078</x:v>
      </x:c>
      <x:c r="B83" s="16" t="str">
        <x:v>مختبر المجسمات وخصائصها</x:v>
      </x:c>
      <x:c r="C83" s="16" t="str">
        <x:v>لقطة/مادة بصرية؛ النوع في الوصف</x:v>
      </x:c>
      <x:c r="D83" s="16" t="str">
        <x:v>images.zip</x:v>
      </x:c>
      <x:c r="E83" s="16" t="str">
        <x:v>images/WhatsApp Image 2026-07-28 at 14.16.01.jpeg</x:v>
      </x:c>
      <x:c r="F83" s="16" t="str">
        <x:v>images/WhatsApp Image 2026-07-28 at 14.16.01.jpeg</x:v>
      </x:c>
      <x:c r="G83" s="28" t="n">
        <x:v>1600</x:v>
      </x:c>
      <x:c r="H83" s="28" t="n">
        <x:v>900</x:v>
      </x:c>
      <x:c r="I83" s="28" t="n">
        <x:v>44649</x:v>
      </x:c>
      <x:c r="J83" s="16" t="str">
        <x:v>JPEG</x:v>
      </x:c>
      <x:c r="K83" s="16" t="str">
        <x:v>IMG-L-006</x:v>
      </x:c>
      <x:c r="L83" s="16" t="str">
        <x:v>IMG-L-006</x:v>
      </x:c>
      <x:c r="M83" s="16" t="str">
        <x:v>مرشح للانتقاء مع توثيق المصدر والإصدار</x:v>
      </x:c>
      <x:c r="N83" s="16" t="str">
        <x:v>chapters/chapter-03/index.html#section-3-8؛ evidence/index.html#solids؛ الفصل الثالث: تصميم مختبر المجسمات؛ الفصل الرابع: الواجهات؛ ملحق دليل الطالب</x:v>
      </x:c>
      <x:c r="O83" s="16" t="str">
        <x:v>assets/images/img-l-006.jpeg</x:v>
      </x:c>
      <x:c r="P83" s="16" t="str">
        <x:v>مختبر المجسمات وخصائصها</x:v>
      </x:c>
      <x:c r="Q83" s="16" t="str">
        <x:v>صورة مرئية فقط؛ لا تثبت نتيجة اختبار ولا تطابق النسخة الحالية</x:v>
      </x:c>
      <x:c r="R83" s="40" t="str">
        <x:v>80544b2c29ea2f19daaa80cd10f5aa2f32f6d2254f9381ac94db64ec20ff793f</x:v>
      </x:c>
    </x:row>
    <x:row r="84" ht="36" hidden="0" customHeight="1">
      <x:c r="A84" s="21" t="str">
        <x:v>IMG-L-079</x:v>
      </x:c>
      <x:c r="B84" s="13" t="str">
        <x:v>مختبر المجسمات وخصائصها</x:v>
      </x:c>
      <x:c r="C84" s="13" t="str">
        <x:v>لقطة/مادة بصرية؛ النوع في الوصف</x:v>
      </x:c>
      <x:c r="D84" s="13" t="str">
        <x:v>images.zip</x:v>
      </x:c>
      <x:c r="E84" s="13" t="str">
        <x:v>images/WhatsApp Image 2026-07-28 at 14.16.17.jpeg</x:v>
      </x:c>
      <x:c r="F84" s="13" t="str">
        <x:v>images/WhatsApp Image 2026-07-28 at 14.16.17.jpeg</x:v>
      </x:c>
      <x:c r="G84" s="27" t="n">
        <x:v>1600</x:v>
      </x:c>
      <x:c r="H84" s="27" t="n">
        <x:v>900</x:v>
      </x:c>
      <x:c r="I84" s="27" t="n">
        <x:v>43611</x:v>
      </x:c>
      <x:c r="J84" s="13" t="str">
        <x:v>JPEG</x:v>
      </x:c>
      <x:c r="K84" s="13" t="str">
        <x:v>IMG-L-079</x:v>
      </x:c>
      <x:c r="L84" s="13" t="str"/>
      <x:c r="M84" s="13" t="str">
        <x:v>مرشح للانتقاء مع توثيق المصدر والإصدار</x:v>
      </x:c>
      <x:c r="N84" s="13" t="str">
        <x:v>chapters/chapter-03/index.html#section-3-8؛ evidence/index.html#solids؛ الفصل الثالث: تصميم مختبر المجسمات؛ الفصل الرابع: الواجهات؛ ملحق دليل الطالب</x:v>
      </x:c>
      <x:c r="O84" s="13" t="str">
        <x:v>assets/images/img-l-079.jpeg</x:v>
      </x:c>
      <x:c r="P84" s="13" t="str">
        <x:v>مختبر المجسمات وخصائصها</x:v>
      </x:c>
      <x:c r="Q84" s="13" t="str">
        <x:v>صورة مرئية فقط؛ لا تثبت نتيجة اختبار ولا تطابق النسخة الحالية</x:v>
      </x:c>
      <x:c r="R84" s="39" t="str">
        <x:v>ebe51c7cafacf14ca8a4c5ace7b05e789be4250dad768e29a0fad6d5a864fb48</x:v>
      </x:c>
    </x:row>
    <x:row r="85" ht="36" hidden="0" customHeight="1">
      <x:c r="A85" s="22" t="str">
        <x:v>IMG-L-080</x:v>
      </x:c>
      <x:c r="B85" s="16" t="str">
        <x:v>مختبر المجسمات وخصائصها</x:v>
      </x:c>
      <x:c r="C85" s="16" t="str">
        <x:v>لقطة/مادة بصرية؛ النوع في الوصف</x:v>
      </x:c>
      <x:c r="D85" s="16" t="str">
        <x:v>images.zip</x:v>
      </x:c>
      <x:c r="E85" s="16" t="str">
        <x:v>images/WhatsApp Image 2026-07-28 at 14.16.30.jpeg</x:v>
      </x:c>
      <x:c r="F85" s="16" t="str">
        <x:v>images/WhatsApp Image 2026-07-28 at 14.16.30.jpeg</x:v>
      </x:c>
      <x:c r="G85" s="28" t="n">
        <x:v>1600</x:v>
      </x:c>
      <x:c r="H85" s="28" t="n">
        <x:v>900</x:v>
      </x:c>
      <x:c r="I85" s="28" t="n">
        <x:v>42250</x:v>
      </x:c>
      <x:c r="J85" s="16" t="str">
        <x:v>JPEG</x:v>
      </x:c>
      <x:c r="K85" s="16" t="str">
        <x:v>IMG-L-080</x:v>
      </x:c>
      <x:c r="L85" s="16" t="str"/>
      <x:c r="M85" s="16" t="str">
        <x:v>مرشح للانتقاء مع توثيق المصدر والإصدار</x:v>
      </x:c>
      <x:c r="N85" s="16" t="str">
        <x:v>chapters/chapter-03/index.html#section-3-8؛ evidence/index.html#solids؛ الفصل الثالث: تصميم مختبر المجسمات؛ الفصل الرابع: الواجهات؛ ملحق دليل الطالب</x:v>
      </x:c>
      <x:c r="O85" s="16" t="str">
        <x:v>assets/images/img-l-080.jpeg</x:v>
      </x:c>
      <x:c r="P85" s="16" t="str">
        <x:v>مختبر المجسمات وخصائصها</x:v>
      </x:c>
      <x:c r="Q85" s="16" t="str">
        <x:v>صورة مرئية فقط؛ لا تثبت نتيجة اختبار ولا تطابق النسخة الحالية</x:v>
      </x:c>
      <x:c r="R85" s="40" t="str">
        <x:v>787e3695614313b811d55b7761d95eae1374444351fe216e15412a1d9e3695a0</x:v>
      </x:c>
    </x:row>
    <x:row r="86" ht="36" hidden="0" customHeight="1">
      <x:c r="A86" s="21" t="str">
        <x:v>IMG-L-081</x:v>
      </x:c>
      <x:c r="B86" s="13" t="str">
        <x:v>مختبر المجسمات وخصائصها</x:v>
      </x:c>
      <x:c r="C86" s="13" t="str">
        <x:v>لقطة/مادة بصرية؛ النوع في الوصف</x:v>
      </x:c>
      <x:c r="D86" s="13" t="str">
        <x:v>images.zip</x:v>
      </x:c>
      <x:c r="E86" s="13" t="str">
        <x:v>images/WhatsApp Image 2026-08-02 at 14.12.16.jpeg</x:v>
      </x:c>
      <x:c r="F86" s="13" t="str">
        <x:v>images/WhatsApp Image 2026-08-02 at 14.12.16.jpeg</x:v>
      </x:c>
      <x:c r="G86" s="27" t="n">
        <x:v>1707</x:v>
      </x:c>
      <x:c r="H86" s="27" t="n">
        <x:v>960</x:v>
      </x:c>
      <x:c r="I86" s="27" t="n">
        <x:v>68675</x:v>
      </x:c>
      <x:c r="J86" s="13" t="str">
        <x:v>JPEG</x:v>
      </x:c>
      <x:c r="K86" s="13" t="str">
        <x:v>IMG-L-081</x:v>
      </x:c>
      <x:c r="L86" s="13" t="str"/>
      <x:c r="M86" s="13" t="str">
        <x:v>مرشح للانتقاء مع توثيق المصدر والإصدار</x:v>
      </x:c>
      <x:c r="N86" s="13" t="str">
        <x:v>chapters/chapter-03/index.html#section-3-8؛ evidence/index.html#solids؛ الفصل الثالث: تصميم مختبر المجسمات؛ الفصل الرابع: الواجهات؛ ملحق دليل الطالب</x:v>
      </x:c>
      <x:c r="O86" s="13" t="str">
        <x:v>assets/images/img-l-081.jpeg</x:v>
      </x:c>
      <x:c r="P86" s="13" t="str">
        <x:v>مختبر المجسمات وخصائصها</x:v>
      </x:c>
      <x:c r="Q86" s="13" t="str">
        <x:v>صورة مرئية فقط؛ لا تثبت نتيجة اختبار ولا تطابق النسخة الحالية</x:v>
      </x:c>
      <x:c r="R86" s="39" t="str">
        <x:v>a577125c178bf4a55fe6adb49d7dac64b49b0b97e0d990dad595ca6569bd243e</x:v>
      </x:c>
    </x:row>
    <x:row r="87" ht="36" hidden="0" customHeight="1">
      <x:c r="A87" s="22" t="str">
        <x:v>IMG-L-082</x:v>
      </x:c>
      <x:c r="B87" s="16" t="str">
        <x:v>مختبر المجسمات وخصائصها</x:v>
      </x:c>
      <x:c r="C87" s="16" t="str">
        <x:v>لقطة/مادة بصرية؛ النوع في الوصف</x:v>
      </x:c>
      <x:c r="D87" s="16" t="str">
        <x:v>images.zip</x:v>
      </x:c>
      <x:c r="E87" s="16" t="str">
        <x:v>images/WhatsApp Image 2026-08-02 at 14.12.26.jpeg</x:v>
      </x:c>
      <x:c r="F87" s="16" t="str">
        <x:v>images/WhatsApp Image 2026-08-02 at 14.12.26.jpeg</x:v>
      </x:c>
      <x:c r="G87" s="28" t="n">
        <x:v>1707</x:v>
      </x:c>
      <x:c r="H87" s="28" t="n">
        <x:v>960</x:v>
      </x:c>
      <x:c r="I87" s="28" t="n">
        <x:v>50380</x:v>
      </x:c>
      <x:c r="J87" s="16" t="str">
        <x:v>JPEG</x:v>
      </x:c>
      <x:c r="K87" s="16" t="str">
        <x:v>IMG-L-082</x:v>
      </x:c>
      <x:c r="L87" s="16" t="str"/>
      <x:c r="M87" s="16" t="str">
        <x:v>مرشح للانتقاء مع توثيق المصدر والإصدار</x:v>
      </x:c>
      <x:c r="N87" s="16" t="str">
        <x:v>chapters/chapter-03/index.html#section-3-8؛ evidence/index.html#solids؛ الفصل الثالث: تصميم مختبر المجسمات؛ الفصل الرابع: الواجهات؛ ملحق دليل الطالب</x:v>
      </x:c>
      <x:c r="O87" s="16" t="str">
        <x:v>assets/images/img-l-082.jpeg</x:v>
      </x:c>
      <x:c r="P87" s="16" t="str">
        <x:v>مختبر المجسمات وخصائصها</x:v>
      </x:c>
      <x:c r="Q87" s="16" t="str">
        <x:v>صورة مرئية فقط؛ لا تثبت نتيجة اختبار ولا تطابق النسخة الحالية</x:v>
      </x:c>
      <x:c r="R87" s="40" t="str">
        <x:v>c88bf022d6e91f1e0ec61d5c8d2e30e580b8a546af2fb78f3c7961ec81622d86</x:v>
      </x:c>
    </x:row>
    <x:row r="88" ht="36" hidden="0" customHeight="1">
      <x:c r="A88" s="21" t="str">
        <x:v>IMG-L-083</x:v>
      </x:c>
      <x:c r="B88" s="13" t="str">
        <x:v>مختبر المجسمات وخصائصها</x:v>
      </x:c>
      <x:c r="C88" s="13" t="str">
        <x:v>لقطة/مادة بصرية؛ النوع في الوصف</x:v>
      </x:c>
      <x:c r="D88" s="13" t="str">
        <x:v>images.zip</x:v>
      </x:c>
      <x:c r="E88" s="13" t="str">
        <x:v>images/WhatsApp Image 2026-08-02 at 14.12.37.jpeg</x:v>
      </x:c>
      <x:c r="F88" s="13" t="str">
        <x:v>images/WhatsApp Image 2026-08-02 at 14.12.37.jpeg</x:v>
      </x:c>
      <x:c r="G88" s="27" t="n">
        <x:v>1707</x:v>
      </x:c>
      <x:c r="H88" s="27" t="n">
        <x:v>960</x:v>
      </x:c>
      <x:c r="I88" s="27" t="n">
        <x:v>50679</x:v>
      </x:c>
      <x:c r="J88" s="13" t="str">
        <x:v>JPEG</x:v>
      </x:c>
      <x:c r="K88" s="13" t="str">
        <x:v>IMG-L-083</x:v>
      </x:c>
      <x:c r="L88" s="13" t="str"/>
      <x:c r="M88" s="13" t="str">
        <x:v>مرشح للانتقاء مع توثيق المصدر والإصدار</x:v>
      </x:c>
      <x:c r="N88" s="13" t="str">
        <x:v>chapters/chapter-03/index.html#section-3-8؛ evidence/index.html#solids؛ الفصل الثالث: تصميم مختبر المجسمات؛ الفصل الرابع: الواجهات؛ ملحق دليل الطالب</x:v>
      </x:c>
      <x:c r="O88" s="13" t="str">
        <x:v>assets/images/img-l-083.jpeg</x:v>
      </x:c>
      <x:c r="P88" s="13" t="str">
        <x:v>مختبر المجسمات وخصائصها</x:v>
      </x:c>
      <x:c r="Q88" s="13" t="str">
        <x:v>صورة مرئية فقط؛ لا تثبت نتيجة اختبار ولا تطابق النسخة الحالية</x:v>
      </x:c>
      <x:c r="R88" s="39" t="str">
        <x:v>fad5b919014a05cd19b5b79920b8f4de1e615712f5aaf8d9d36d5b6f9931a10f</x:v>
      </x:c>
    </x:row>
    <x:row r="89" ht="36" hidden="0" customHeight="1">
      <x:c r="A89" s="22" t="str">
        <x:v>IMG-L-084</x:v>
      </x:c>
      <x:c r="B89" s="16" t="str">
        <x:v>مختبر المجسمات وخصائصها</x:v>
      </x:c>
      <x:c r="C89" s="16" t="str">
        <x:v>لقطة/مادة بصرية؛ النوع في الوصف</x:v>
      </x:c>
      <x:c r="D89" s="16" t="str">
        <x:v>images.zip</x:v>
      </x:c>
      <x:c r="E89" s="16" t="str">
        <x:v>images/WhatsApp Image 2026-08-02 at 14.12.47.jpeg</x:v>
      </x:c>
      <x:c r="F89" s="16" t="str">
        <x:v>images/WhatsApp Image 2026-08-02 at 14.12.47.jpeg</x:v>
      </x:c>
      <x:c r="G89" s="28" t="n">
        <x:v>1707</x:v>
      </x:c>
      <x:c r="H89" s="28" t="n">
        <x:v>960</x:v>
      </x:c>
      <x:c r="I89" s="28" t="n">
        <x:v>50177</x:v>
      </x:c>
      <x:c r="J89" s="16" t="str">
        <x:v>JPEG</x:v>
      </x:c>
      <x:c r="K89" s="16" t="str">
        <x:v>IMG-L-084</x:v>
      </x:c>
      <x:c r="L89" s="16" t="str"/>
      <x:c r="M89" s="16" t="str">
        <x:v>مرشح للانتقاء مع توثيق المصدر والإصدار</x:v>
      </x:c>
      <x:c r="N89" s="16" t="str">
        <x:v>chapters/chapter-03/index.html#section-3-8؛ evidence/index.html#solids؛ الفصل الثالث: تصميم مختبر المجسمات؛ الفصل الرابع: الواجهات؛ ملحق دليل الطالب</x:v>
      </x:c>
      <x:c r="O89" s="16" t="str">
        <x:v>assets/images/img-l-084.jpeg</x:v>
      </x:c>
      <x:c r="P89" s="16" t="str">
        <x:v>مختبر المجسمات وخصائصها</x:v>
      </x:c>
      <x:c r="Q89" s="16" t="str">
        <x:v>صورة مرئية فقط؛ لا تثبت نتيجة اختبار ولا تطابق النسخة الحالية</x:v>
      </x:c>
      <x:c r="R89" s="40" t="str">
        <x:v>041df5049b183dd7747d856400a1b904d2e0abe4c30aff6f4a537687a4231b1e</x:v>
      </x:c>
    </x:row>
    <x:row r="90" ht="36" hidden="0" customHeight="1">
      <x:c r="A90" s="21" t="str">
        <x:v>IMG-L-085</x:v>
      </x:c>
      <x:c r="B90" s="13" t="str">
        <x:v>واجهات النظارة وإعداداتها</x:v>
      </x:c>
      <x:c r="C90" s="13" t="str">
        <x:v>لقطة/مادة بصرية؛ النوع في الوصف</x:v>
      </x:c>
      <x:c r="D90" s="13" t="str">
        <x:v>images.zip</x:v>
      </x:c>
      <x:c r="E90" s="13" t="str">
        <x:v>images/WhatsApp Image 2026-08-02 at 14.32.13.jpeg</x:v>
      </x:c>
      <x:c r="F90" s="13" t="str">
        <x:v>images/WhatsApp Image 2026-08-02 at 14.32.13.jpeg</x:v>
      </x:c>
      <x:c r="G90" s="27" t="n">
        <x:v>1707</x:v>
      </x:c>
      <x:c r="H90" s="27" t="n">
        <x:v>960</x:v>
      </x:c>
      <x:c r="I90" s="27" t="n">
        <x:v>95354</x:v>
      </x:c>
      <x:c r="J90" s="13" t="str">
        <x:v>JPEG</x:v>
      </x:c>
      <x:c r="K90" s="13" t="str">
        <x:v>IMG-L-085</x:v>
      </x:c>
      <x:c r="L90" s="13" t="str"/>
      <x:c r="M90" s="13" t="str">
        <x:v>مراجعة بيانات الحساب والعناصر غير المرتبطة ثم اقتصاص/طمس عند الحاجة</x:v>
      </x:c>
      <x:c r="N90" s="13" t="str">
        <x:v>versions/index.html#historical-evidence؛ ملحق الإعداد والتشغيل عند الحاجة؛ انتقاء وطمس بيانات الحساب قبل النشر</x:v>
      </x:c>
      <x:c r="O90" s="13" t="str">
        <x:v>assets/images/img-l-085.jpeg</x:v>
      </x:c>
      <x:c r="P90" s="13" t="str">
        <x:v>واجهات النظارة وإعداداتها</x:v>
      </x:c>
      <x:c r="Q90" s="13" t="str">
        <x:v>صورة مرئية فقط؛ لا تثبت نتيجة اختبار ولا تطابق النسخة الحالية</x:v>
      </x:c>
      <x:c r="R90" s="39" t="str">
        <x:v>b5f449aa3d80cdcf37a981e194f473b05dc2234cc682c6a957761b260770dc90</x:v>
      </x:c>
    </x:row>
    <x:row r="91" ht="36" hidden="0" customHeight="1">
      <x:c r="A91" s="22" t="str">
        <x:v>IMG-L-086</x:v>
      </x:c>
      <x:c r="B91" s="16" t="str">
        <x:v>واجهات النظارة وإعداداتها</x:v>
      </x:c>
      <x:c r="C91" s="16" t="str">
        <x:v>لقطة/مادة بصرية؛ النوع في الوصف</x:v>
      </x:c>
      <x:c r="D91" s="16" t="str">
        <x:v>images.zip</x:v>
      </x:c>
      <x:c r="E91" s="16" t="str">
        <x:v>images/WhatsApp Image 2026-08-02 at 14.32.26.jpeg</x:v>
      </x:c>
      <x:c r="F91" s="16" t="str">
        <x:v>images/WhatsApp Image 2026-08-02 at 14.32.26.jpeg</x:v>
      </x:c>
      <x:c r="G91" s="28" t="n">
        <x:v>1707</x:v>
      </x:c>
      <x:c r="H91" s="28" t="n">
        <x:v>960</x:v>
      </x:c>
      <x:c r="I91" s="28" t="n">
        <x:v>95839</x:v>
      </x:c>
      <x:c r="J91" s="16" t="str">
        <x:v>JPEG</x:v>
      </x:c>
      <x:c r="K91" s="16" t="str">
        <x:v>IMG-L-086</x:v>
      </x:c>
      <x:c r="L91" s="16" t="str"/>
      <x:c r="M91" s="16" t="str">
        <x:v>مراجعة بيانات الحساب والعناصر غير المرتبطة ثم اقتصاص/طمس عند الحاجة</x:v>
      </x:c>
      <x:c r="N91" s="16" t="str">
        <x:v>versions/index.html#historical-evidence؛ ملحق الإعداد والتشغيل عند الحاجة؛ انتقاء وطمس بيانات الحساب قبل النشر</x:v>
      </x:c>
      <x:c r="O91" s="16" t="str">
        <x:v>assets/images/img-l-086.jpeg</x:v>
      </x:c>
      <x:c r="P91" s="16" t="str">
        <x:v>واجهات النظارة وإعداداتها</x:v>
      </x:c>
      <x:c r="Q91" s="16" t="str">
        <x:v>صورة مرئية فقط؛ لا تثبت نتيجة اختبار ولا تطابق النسخة الحالية</x:v>
      </x:c>
      <x:c r="R91" s="40" t="str">
        <x:v>3d368e2917db26b93bc6234414470d57bbd02f21885a18edf5d240fa455d722d</x:v>
      </x:c>
    </x:row>
    <x:row r="92" ht="36" hidden="0" customHeight="1">
      <x:c r="A92" s="21" t="str">
        <x:v>IMG-L-087</x:v>
      </x:c>
      <x:c r="B92" s="13" t="str">
        <x:v>واجهات النظارة وإعداداتها</x:v>
      </x:c>
      <x:c r="C92" s="13" t="str">
        <x:v>لقطة/مادة بصرية؛ النوع في الوصف</x:v>
      </x:c>
      <x:c r="D92" s="13" t="str">
        <x:v>images.zip</x:v>
      </x:c>
      <x:c r="E92" s="13" t="str">
        <x:v>images/WhatsApp Image 2026-08-02 at 14.33.47.jpeg</x:v>
      </x:c>
      <x:c r="F92" s="13" t="str">
        <x:v>images/WhatsApp Image 2026-08-02 at 14.33.47.jpeg</x:v>
      </x:c>
      <x:c r="G92" s="27" t="n">
        <x:v>1600</x:v>
      </x:c>
      <x:c r="H92" s="27" t="n">
        <x:v>900</x:v>
      </x:c>
      <x:c r="I92" s="27" t="n">
        <x:v>70217</x:v>
      </x:c>
      <x:c r="J92" s="13" t="str">
        <x:v>JPEG</x:v>
      </x:c>
      <x:c r="K92" s="13" t="str">
        <x:v>IMG-L-087</x:v>
      </x:c>
      <x:c r="L92" s="13" t="str"/>
      <x:c r="M92" s="13" t="str">
        <x:v>مراجعة بيانات الحساب والعناصر غير المرتبطة ثم اقتصاص/طمس عند الحاجة</x:v>
      </x:c>
      <x:c r="N92" s="13" t="str">
        <x:v>versions/index.html#historical-evidence؛ ملحق الإعداد والتشغيل عند الحاجة؛ انتقاء وطمس بيانات الحساب قبل النشر</x:v>
      </x:c>
      <x:c r="O92" s="13" t="str">
        <x:v>assets/images/img-l-087.jpeg</x:v>
      </x:c>
      <x:c r="P92" s="13" t="str">
        <x:v>واجهات النظارة وإعداداتها</x:v>
      </x:c>
      <x:c r="Q92" s="13" t="str">
        <x:v>صورة مرئية فقط؛ لا تثبت نتيجة اختبار ولا تطابق النسخة الحالية</x:v>
      </x:c>
      <x:c r="R92" s="39" t="str">
        <x:v>71cd40fd3798e7b9016b348278a94cd6097a764c62e19639117d4ffdef90d019</x:v>
      </x:c>
    </x:row>
    <x:row r="93" ht="36" hidden="0" customHeight="1">
      <x:c r="A93" s="22" t="str">
        <x:v>IMG-L-088</x:v>
      </x:c>
      <x:c r="B93" s="16" t="str">
        <x:v>واجهات النظارة وإعداداتها</x:v>
      </x:c>
      <x:c r="C93" s="16" t="str">
        <x:v>لقطة/مادة بصرية؛ النوع في الوصف</x:v>
      </x:c>
      <x:c r="D93" s="16" t="str">
        <x:v>images.zip</x:v>
      </x:c>
      <x:c r="E93" s="16" t="str">
        <x:v>images/WhatsApp Image 2026-08-02 at 14.34.02.jpeg</x:v>
      </x:c>
      <x:c r="F93" s="16" t="str">
        <x:v>images/WhatsApp Image 2026-08-02 at 14.34.02.jpeg</x:v>
      </x:c>
      <x:c r="G93" s="28" t="n">
        <x:v>1600</x:v>
      </x:c>
      <x:c r="H93" s="28" t="n">
        <x:v>900</x:v>
      </x:c>
      <x:c r="I93" s="28" t="n">
        <x:v>70180</x:v>
      </x:c>
      <x:c r="J93" s="16" t="str">
        <x:v>JPEG</x:v>
      </x:c>
      <x:c r="K93" s="16" t="str">
        <x:v>IMG-L-088</x:v>
      </x:c>
      <x:c r="L93" s="16" t="str"/>
      <x:c r="M93" s="16" t="str">
        <x:v>مراجعة بيانات الحساب والعناصر غير المرتبطة ثم اقتصاص/طمس عند الحاجة</x:v>
      </x:c>
      <x:c r="N93" s="16" t="str">
        <x:v>versions/index.html#historical-evidence؛ ملحق الإعداد والتشغيل عند الحاجة؛ انتقاء وطمس بيانات الحساب قبل النشر</x:v>
      </x:c>
      <x:c r="O93" s="16" t="str">
        <x:v>assets/images/img-l-088.jpeg</x:v>
      </x:c>
      <x:c r="P93" s="16" t="str">
        <x:v>واجهات النظارة وإعداداتها</x:v>
      </x:c>
      <x:c r="Q93" s="16" t="str">
        <x:v>صورة مرئية فقط؛ لا تثبت نتيجة اختبار ولا تطابق النسخة الحالية</x:v>
      </x:c>
      <x:c r="R93" s="40" t="str">
        <x:v>079a71ec0b8ee5915e198fefd0936e39be30e85dd862f5140ad324f7cc154951</x:v>
      </x:c>
    </x:row>
    <x:row r="94" ht="36" hidden="0" customHeight="1">
      <x:c r="A94" s="21" t="str">
        <x:v>IMG-L-089</x:v>
      </x:c>
      <x:c r="B94" s="13" t="str">
        <x:v>واجهات النظارة وإعداداتها</x:v>
      </x:c>
      <x:c r="C94" s="13" t="str">
        <x:v>لقطة/مادة بصرية؛ النوع في الوصف</x:v>
      </x:c>
      <x:c r="D94" s="13" t="str">
        <x:v>images.zip</x:v>
      </x:c>
      <x:c r="E94" s="13" t="str">
        <x:v>images/WhatsApp Image 2026-08-02 at 14.34.23.jpeg</x:v>
      </x:c>
      <x:c r="F94" s="13" t="str">
        <x:v>images/WhatsApp Image 2026-08-02 at 14.34.23.jpeg</x:v>
      </x:c>
      <x:c r="G94" s="27" t="n">
        <x:v>1664</x:v>
      </x:c>
      <x:c r="H94" s="27" t="n">
        <x:v>936</x:v>
      </x:c>
      <x:c r="I94" s="27" t="n">
        <x:v>93685</x:v>
      </x:c>
      <x:c r="J94" s="13" t="str">
        <x:v>JPEG</x:v>
      </x:c>
      <x:c r="K94" s="13" t="str">
        <x:v>IMG-L-089</x:v>
      </x:c>
      <x:c r="L94" s="13" t="str"/>
      <x:c r="M94" s="13" t="str">
        <x:v>مراجعة بيانات الحساب والعناصر غير المرتبطة ثم اقتصاص/طمس عند الحاجة</x:v>
      </x:c>
      <x:c r="N94" s="13" t="str">
        <x:v>versions/index.html#historical-evidence؛ ملحق الإعداد والتشغيل عند الحاجة؛ انتقاء وطمس بيانات الحساب قبل النشر</x:v>
      </x:c>
      <x:c r="O94" s="13" t="str">
        <x:v>assets/images/img-l-089.jpeg</x:v>
      </x:c>
      <x:c r="P94" s="13" t="str">
        <x:v>واجهات النظارة وإعداداتها</x:v>
      </x:c>
      <x:c r="Q94" s="13" t="str">
        <x:v>صورة مرئية فقط؛ لا تثبت نتيجة اختبار ولا تطابق النسخة الحالية</x:v>
      </x:c>
      <x:c r="R94" s="39" t="str">
        <x:v>1078b080e575dc05af7ab60100d91d4f8d8ec69ccb8060c2dfefcbc505cf97e3</x:v>
      </x:c>
    </x:row>
    <x:row r="95" ht="36" hidden="0" customHeight="1">
      <x:c r="A95" s="22" t="str">
        <x:v>IMG-L-090</x:v>
      </x:c>
      <x:c r="B95" s="16" t="str">
        <x:v>التهيئة والترحيب والتنقل</x:v>
      </x:c>
      <x:c r="C95" s="16" t="str">
        <x:v>لقطة/مادة بصرية؛ النوع في الوصف</x:v>
      </x:c>
      <x:c r="D95" s="16" t="str">
        <x:v>images.zip</x:v>
      </x:c>
      <x:c r="E95" s="16" t="str">
        <x:v>images/WhatsApp Image 2026-08-03 at 00.35.44.jpeg</x:v>
      </x:c>
      <x:c r="F95" s="16" t="str">
        <x:v>images/WhatsApp Image 2026-08-03 at 00.35.44.jpeg</x:v>
      </x:c>
      <x:c r="G95" s="28" t="n">
        <x:v>1707</x:v>
      </x:c>
      <x:c r="H95" s="28" t="n">
        <x:v>960</x:v>
      </x:c>
      <x:c r="I95" s="28" t="n">
        <x:v>48629</x:v>
      </x:c>
      <x:c r="J95" s="16" t="str">
        <x:v>JPEG</x:v>
      </x:c>
      <x:c r="K95" s="16" t="str">
        <x:v>IMG-L-090</x:v>
      </x:c>
      <x:c r="L95" s="16" t="str"/>
      <x:c r="M95" s="16" t="str">
        <x:v>مرشح للانتقاء مع توثيق المصدر والإصدار</x:v>
      </x:c>
      <x:c r="N95" s="16" t="str">
        <x:v>chapters/chapter-03/index.html#section-3-9-1؛ development/index.html#before-merge؛ الفصل الثالث: تنظيم المراحل والتفاعل؛ الفصل الرابع: الواجهات؛ ملحق دليل الطالب</x:v>
      </x:c>
      <x:c r="O95" s="16" t="str">
        <x:v>assets/images/img-l-090.jpeg</x:v>
      </x:c>
      <x:c r="P95" s="16" t="str">
        <x:v>التهيئة والترحيب والتنقل</x:v>
      </x:c>
      <x:c r="Q95" s="16" t="str">
        <x:v>صورة مرئية فقط؛ لا تثبت نتيجة اختبار ولا تطابق النسخة الحالية</x:v>
      </x:c>
      <x:c r="R95" s="40" t="str">
        <x:v>7b5c89665d63bfe341808a49d4bdbf5a0891ff16e30842811b6e36c2f30f3732</x:v>
      </x:c>
    </x:row>
    <x:row r="96" ht="36" hidden="0" customHeight="1">
      <x:c r="A96" s="21" t="str">
        <x:v>IMG-L-091</x:v>
      </x:c>
      <x:c r="B96" s="13" t="str">
        <x:v>شاشات الفيديو التعليمية داخل المختبر</x:v>
      </x:c>
      <x:c r="C96" s="13" t="str">
        <x:v>لقطة/مادة بصرية؛ النوع في الوصف</x:v>
      </x:c>
      <x:c r="D96" s="13" t="str">
        <x:v>images.zip</x:v>
      </x:c>
      <x:c r="E96" s="13" t="str">
        <x:v>images/WhatsApp Image 2026-08-03 at 00.35.58.jpeg</x:v>
      </x:c>
      <x:c r="F96" s="13" t="str">
        <x:v>images/WhatsApp Image 2026-08-03 at 00.35.58.jpeg</x:v>
      </x:c>
      <x:c r="G96" s="27" t="n">
        <x:v>1707</x:v>
      </x:c>
      <x:c r="H96" s="27" t="n">
        <x:v>960</x:v>
      </x:c>
      <x:c r="I96" s="27" t="n">
        <x:v>94998</x:v>
      </x:c>
      <x:c r="J96" s="13" t="str">
        <x:v>JPEG</x:v>
      </x:c>
      <x:c r="K96" s="13" t="str">
        <x:v>IMG-L-091</x:v>
      </x:c>
      <x:c r="L96" s="13" t="str"/>
      <x:c r="M96" s="13" t="str">
        <x:v>مرشح للانتقاء مع توثيق المصدر والإصدار</x:v>
      </x:c>
      <x:c r="N96" s="13" t="str">
        <x:v>chapters/chapter-03/index.html#section-3-8؛ evidence/index.html#solids؛ الفصل الثالث: الوسائط التعليمية؛ الفصل الرابع: الواجهات؛ ملحق دليل الاستخدام</x:v>
      </x:c>
      <x:c r="O96" s="13" t="str">
        <x:v>assets/images/img-l-091.jpeg</x:v>
      </x:c>
      <x:c r="P96" s="13" t="str">
        <x:v>شاشات الفيديو التعليمية داخل المختبر</x:v>
      </x:c>
      <x:c r="Q96" s="13" t="str">
        <x:v>صورة مرئية فقط؛ لا تثبت نتيجة اختبار ولا تطابق النسخة الحالية</x:v>
      </x:c>
      <x:c r="R96" s="39" t="str">
        <x:v>e14652a2ad756622639a40b687effceef0ffc26df6d8c9b7a3e16add01e9d357</x:v>
      </x:c>
    </x:row>
    <x:row r="97" ht="36" hidden="0" customHeight="1">
      <x:c r="A97" s="22" t="str">
        <x:v>IMG-L-092</x:v>
      </x:c>
      <x:c r="B97" s="16" t="str">
        <x:v>شاشات الفيديو التعليمية داخل المختبر</x:v>
      </x:c>
      <x:c r="C97" s="16" t="str">
        <x:v>لقطة/مادة بصرية؛ النوع في الوصف</x:v>
      </x:c>
      <x:c r="D97" s="16" t="str">
        <x:v>images.zip</x:v>
      </x:c>
      <x:c r="E97" s="16" t="str">
        <x:v>images/WhatsApp Image 2026-08-03 at 00.36.14.jpeg</x:v>
      </x:c>
      <x:c r="F97" s="16" t="str">
        <x:v>images/WhatsApp Image 2026-08-03 at 00.36.14.jpeg</x:v>
      </x:c>
      <x:c r="G97" s="28" t="n">
        <x:v>1707</x:v>
      </x:c>
      <x:c r="H97" s="28" t="n">
        <x:v>960</x:v>
      </x:c>
      <x:c r="I97" s="28" t="n">
        <x:v>91907</x:v>
      </x:c>
      <x:c r="J97" s="16" t="str">
        <x:v>JPEG</x:v>
      </x:c>
      <x:c r="K97" s="16" t="str">
        <x:v>IMG-L-092</x:v>
      </x:c>
      <x:c r="L97" s="16" t="str"/>
      <x:c r="M97" s="16" t="str">
        <x:v>مرشح للانتقاء مع توثيق المصدر والإصدار</x:v>
      </x:c>
      <x:c r="N97" s="16" t="str">
        <x:v>chapters/chapter-03/index.html#section-3-8؛ evidence/index.html#solids؛ الفصل الثالث: الوسائط التعليمية؛ الفصل الرابع: الواجهات؛ ملحق دليل الاستخدام</x:v>
      </x:c>
      <x:c r="O97" s="16" t="str">
        <x:v>assets/images/img-l-092.jpeg</x:v>
      </x:c>
      <x:c r="P97" s="16" t="str">
        <x:v>شاشات الفيديو التعليمية داخل المختبر</x:v>
      </x:c>
      <x:c r="Q97" s="16" t="str">
        <x:v>صورة مرئية فقط؛ لا تثبت نتيجة اختبار ولا تطابق النسخة الحالية</x:v>
      </x:c>
      <x:c r="R97" s="40" t="str">
        <x:v>38d19faf91990cc47da2c39207db52c8eec506d15c789c094aea27a250cadc5a</x:v>
      </x:c>
    </x:row>
    <x:row r="98" ht="36" hidden="0" customHeight="1">
      <x:c r="A98" s="21" t="str">
        <x:v>IMG-L-093</x:v>
      </x:c>
      <x:c r="B98" s="13" t="str">
        <x:v>التهيئة والترحيب والتنقل</x:v>
      </x:c>
      <x:c r="C98" s="13" t="str">
        <x:v>لقطة/مادة بصرية؛ النوع في الوصف</x:v>
      </x:c>
      <x:c r="D98" s="13" t="str">
        <x:v>images.zip</x:v>
      </x:c>
      <x:c r="E98" s="13" t="str">
        <x:v>images/WhatsApp Image 2026-08-03 at 00.37.09.jpeg</x:v>
      </x:c>
      <x:c r="F98" s="13" t="str">
        <x:v>images/WhatsApp Image 2026-08-03 at 00.37.09.jpeg</x:v>
      </x:c>
      <x:c r="G98" s="27" t="n">
        <x:v>1707</x:v>
      </x:c>
      <x:c r="H98" s="27" t="n">
        <x:v>960</x:v>
      </x:c>
      <x:c r="I98" s="27" t="n">
        <x:v>45344</x:v>
      </x:c>
      <x:c r="J98" s="13" t="str">
        <x:v>JPEG</x:v>
      </x:c>
      <x:c r="K98" s="13" t="str">
        <x:v>IMG-L-093</x:v>
      </x:c>
      <x:c r="L98" s="13" t="str"/>
      <x:c r="M98" s="13" t="str">
        <x:v>مرشح للانتقاء مع توثيق المصدر والإصدار</x:v>
      </x:c>
      <x:c r="N98" s="13" t="str">
        <x:v>chapters/chapter-03/index.html#section-3-9-1؛ development/index.html#before-merge؛ الفصل الثالث: تنظيم المراحل والتفاعل؛ الفصل الرابع: الواجهات؛ ملحق دليل الطالب</x:v>
      </x:c>
      <x:c r="O98" s="13" t="str">
        <x:v>assets/images/img-l-093.jpeg</x:v>
      </x:c>
      <x:c r="P98" s="13" t="str">
        <x:v>التهيئة والترحيب والتنقل</x:v>
      </x:c>
      <x:c r="Q98" s="13" t="str">
        <x:v>صورة مرئية فقط؛ لا تثبت نتيجة اختبار ولا تطابق النسخة الحالية</x:v>
      </x:c>
      <x:c r="R98" s="39" t="str">
        <x:v>b8036b461e725610854c9eb939fe4093e0ca7015d6f4e4bc8ace53eecca4b595</x:v>
      </x:c>
    </x:row>
    <x:row r="99" ht="36" hidden="0" customHeight="1">
      <x:c r="A99" s="22" t="str">
        <x:v>IMG-L-094</x:v>
      </x:c>
      <x:c r="B99" s="16" t="str">
        <x:v>شاشات الفيديو التعليمية داخل المختبر</x:v>
      </x:c>
      <x:c r="C99" s="16" t="str">
        <x:v>لقطة/مادة بصرية؛ النوع في الوصف</x:v>
      </x:c>
      <x:c r="D99" s="16" t="str">
        <x:v>images.zip</x:v>
      </x:c>
      <x:c r="E99" s="16" t="str">
        <x:v>images/WhatsApp Image 2026-08-03 at 00.37.49.jpeg</x:v>
      </x:c>
      <x:c r="F99" s="16" t="str">
        <x:v>images/WhatsApp Image 2026-08-03 at 00.37.49.jpeg</x:v>
      </x:c>
      <x:c r="G99" s="28" t="n">
        <x:v>1707</x:v>
      </x:c>
      <x:c r="H99" s="28" t="n">
        <x:v>960</x:v>
      </x:c>
      <x:c r="I99" s="28" t="n">
        <x:v>93400</x:v>
      </x:c>
      <x:c r="J99" s="16" t="str">
        <x:v>JPEG</x:v>
      </x:c>
      <x:c r="K99" s="16" t="str">
        <x:v>IMG-L-094</x:v>
      </x:c>
      <x:c r="L99" s="16" t="str"/>
      <x:c r="M99" s="16" t="str">
        <x:v>مرشح للانتقاء مع توثيق المصدر والإصدار</x:v>
      </x:c>
      <x:c r="N99" s="16" t="str">
        <x:v>chapters/chapter-03/index.html#section-3-8؛ evidence/index.html#solids؛ الفصل الثالث: الوسائط التعليمية؛ الفصل الرابع: الواجهات؛ ملحق دليل الاستخدام</x:v>
      </x:c>
      <x:c r="O99" s="16" t="str">
        <x:v>assets/images/img-l-094.jpeg</x:v>
      </x:c>
      <x:c r="P99" s="16" t="str">
        <x:v>شاشات الفيديو التعليمية داخل المختبر</x:v>
      </x:c>
      <x:c r="Q99" s="16" t="str">
        <x:v>صورة مرئية فقط؛ لا تثبت نتيجة اختبار ولا تطابق النسخة الحالية</x:v>
      </x:c>
      <x:c r="R99" s="40" t="str">
        <x:v>8f5b12cfa51dd85b8c6aabfb05f5a5b1b3744150960596ad72cc92751a12bb74</x:v>
      </x:c>
    </x:row>
    <x:row r="100" ht="36" hidden="0" customHeight="1">
      <x:c r="A100" s="21" t="str">
        <x:v>IMG-L-095</x:v>
      </x:c>
      <x:c r="B100" s="13" t="str">
        <x:v>مختبر المجسمات وخصائصها</x:v>
      </x:c>
      <x:c r="C100" s="13" t="str">
        <x:v>لقطة/مادة بصرية؛ النوع في الوصف</x:v>
      </x:c>
      <x:c r="D100" s="13" t="str">
        <x:v>images.zip</x:v>
      </x:c>
      <x:c r="E100" s="13" t="str">
        <x:v>images/WhatsApp Image 2026-08-03 at 00.38.12.jpeg</x:v>
      </x:c>
      <x:c r="F100" s="13" t="str">
        <x:v>images/WhatsApp Image 2026-08-03 at 00.38.12.jpeg</x:v>
      </x:c>
      <x:c r="G100" s="27" t="n">
        <x:v>1707</x:v>
      </x:c>
      <x:c r="H100" s="27" t="n">
        <x:v>960</x:v>
      </x:c>
      <x:c r="I100" s="27" t="n">
        <x:v>52138</x:v>
      </x:c>
      <x:c r="J100" s="13" t="str">
        <x:v>JPEG</x:v>
      </x:c>
      <x:c r="K100" s="13" t="str">
        <x:v>IMG-L-095</x:v>
      </x:c>
      <x:c r="L100" s="13" t="str"/>
      <x:c r="M100" s="13" t="str">
        <x:v>مرشح للانتقاء مع توثيق المصدر والإصدار</x:v>
      </x:c>
      <x:c r="N100" s="13" t="str">
        <x:v>chapters/chapter-03/index.html#section-3-8؛ evidence/index.html#solids؛ الفصل الثالث: تصميم مختبر المجسمات؛ الفصل الرابع: الواجهات؛ ملحق دليل الطالب</x:v>
      </x:c>
      <x:c r="O100" s="13" t="str">
        <x:v>assets/images/img-l-095.jpeg</x:v>
      </x:c>
      <x:c r="P100" s="13" t="str">
        <x:v>مختبر المجسمات وخصائصها</x:v>
      </x:c>
      <x:c r="Q100" s="13" t="str">
        <x:v>صورة مرئية فقط؛ لا تثبت نتيجة اختبار ولا تطابق النسخة الحالية</x:v>
      </x:c>
      <x:c r="R100" s="39" t="str">
        <x:v>c16cd0285d3a61093a8ba91fa81c7a0d4a4a5c7f8f2b73a95ea4c82073540676</x:v>
      </x:c>
    </x:row>
    <x:row r="101" ht="36" hidden="0" customHeight="1">
      <x:c r="A101" s="22" t="str">
        <x:v>IMG-L-096</x:v>
      </x:c>
      <x:c r="B101" s="16" t="str">
        <x:v>مختبر المجسمات وخصائصها</x:v>
      </x:c>
      <x:c r="C101" s="16" t="str">
        <x:v>لقطة/مادة بصرية؛ النوع في الوصف</x:v>
      </x:c>
      <x:c r="D101" s="16" t="str">
        <x:v>images.zip</x:v>
      </x:c>
      <x:c r="E101" s="16" t="str">
        <x:v>images/WhatsApp Image 2026-08-03 at 00.38.22.jpeg</x:v>
      </x:c>
      <x:c r="F101" s="16" t="str">
        <x:v>images/WhatsApp Image 2026-08-03 at 00.38.22.jpeg</x:v>
      </x:c>
      <x:c r="G101" s="28" t="n">
        <x:v>1707</x:v>
      </x:c>
      <x:c r="H101" s="28" t="n">
        <x:v>960</x:v>
      </x:c>
      <x:c r="I101" s="28" t="n">
        <x:v>52138</x:v>
      </x:c>
      <x:c r="J101" s="16" t="str">
        <x:v>JPEG</x:v>
      </x:c>
      <x:c r="K101" s="16" t="str">
        <x:v>IMG-L-095</x:v>
      </x:c>
      <x:c r="L101" s="16" t="str">
        <x:v>IMG-L-095</x:v>
      </x:c>
      <x:c r="M101" s="16" t="str">
        <x:v>مرشح للانتقاء مع توثيق المصدر والإصدار</x:v>
      </x:c>
      <x:c r="N101" s="16" t="str">
        <x:v>chapters/chapter-03/index.html#section-3-8؛ evidence/index.html#solids؛ الفصل الثالث: تصميم مختبر المجسمات؛ الفصل الرابع: الواجهات؛ ملحق دليل الطالب</x:v>
      </x:c>
      <x:c r="O101" s="16" t="str">
        <x:v>assets/images/img-l-095.jpeg</x:v>
      </x:c>
      <x:c r="P101" s="16" t="str">
        <x:v>مختبر المجسمات وخصائصها</x:v>
      </x:c>
      <x:c r="Q101" s="16" t="str">
        <x:v>صورة مرئية فقط؛ لا تثبت نتيجة اختبار ولا تطابق النسخة الحالية</x:v>
      </x:c>
      <x:c r="R101" s="40" t="str">
        <x:v>c16cd0285d3a61093a8ba91fa81c7a0d4a4a5c7f8f2b73a95ea4c82073540676</x:v>
      </x:c>
    </x:row>
    <x:row r="102" ht="36" hidden="0" customHeight="1">
      <x:c r="A102" s="21" t="str">
        <x:v>IMG-L-097</x:v>
      </x:c>
      <x:c r="B102" s="13" t="str">
        <x:v>مختبر المجسمات وخصائصها</x:v>
      </x:c>
      <x:c r="C102" s="13" t="str">
        <x:v>لقطة/مادة بصرية؛ النوع في الوصف</x:v>
      </x:c>
      <x:c r="D102" s="13" t="str">
        <x:v>images.zip</x:v>
      </x:c>
      <x:c r="E102" s="13" t="str">
        <x:v>images/WhatsApp Image 2026-08-03 at 00.38.38.jpeg</x:v>
      </x:c>
      <x:c r="F102" s="13" t="str">
        <x:v>images/WhatsApp Image 2026-08-03 at 00.38.38.jpeg</x:v>
      </x:c>
      <x:c r="G102" s="27" t="n">
        <x:v>1707</x:v>
      </x:c>
      <x:c r="H102" s="27" t="n">
        <x:v>960</x:v>
      </x:c>
      <x:c r="I102" s="27" t="n">
        <x:v>54029</x:v>
      </x:c>
      <x:c r="J102" s="13" t="str">
        <x:v>JPEG</x:v>
      </x:c>
      <x:c r="K102" s="13" t="str">
        <x:v>IMG-L-097</x:v>
      </x:c>
      <x:c r="L102" s="13" t="str"/>
      <x:c r="M102" s="13" t="str">
        <x:v>مرشح للانتقاء مع توثيق المصدر والإصدار</x:v>
      </x:c>
      <x:c r="N102" s="13" t="str">
        <x:v>chapters/chapter-03/index.html#section-3-8؛ evidence/index.html#solids؛ الفصل الثالث: تصميم مختبر المجسمات؛ الفصل الرابع: الواجهات؛ ملحق دليل الطالب</x:v>
      </x:c>
      <x:c r="O102" s="13" t="str">
        <x:v>assets/images/img-l-097.jpeg</x:v>
      </x:c>
      <x:c r="P102" s="13" t="str">
        <x:v>مختبر المجسمات وخصائصها</x:v>
      </x:c>
      <x:c r="Q102" s="13" t="str">
        <x:v>صورة مرئية فقط؛ لا تثبت نتيجة اختبار ولا تطابق النسخة الحالية</x:v>
      </x:c>
      <x:c r="R102" s="39" t="str">
        <x:v>dcb1c58adc880749a91fd2be4713704b813175360735774369e9c17f3e9e4630</x:v>
      </x:c>
    </x:row>
    <x:row r="103" ht="36" hidden="0" customHeight="1">
      <x:c r="A103" s="22" t="str">
        <x:v>IMG-L-098</x:v>
      </x:c>
      <x:c r="B103" s="16" t="str">
        <x:v>مختبر المجسمات وخصائصها</x:v>
      </x:c>
      <x:c r="C103" s="16" t="str">
        <x:v>لقطة/مادة بصرية؛ النوع في الوصف</x:v>
      </x:c>
      <x:c r="D103" s="16" t="str">
        <x:v>images.zip</x:v>
      </x:c>
      <x:c r="E103" s="16" t="str">
        <x:v>images/WhatsApp Image 2026-08-03 at 00.38.52.jpeg</x:v>
      </x:c>
      <x:c r="F103" s="16" t="str">
        <x:v>images/WhatsApp Image 2026-08-03 at 00.38.52.jpeg</x:v>
      </x:c>
      <x:c r="G103" s="28" t="n">
        <x:v>1707</x:v>
      </x:c>
      <x:c r="H103" s="28" t="n">
        <x:v>960</x:v>
      </x:c>
      <x:c r="I103" s="28" t="n">
        <x:v>50171</x:v>
      </x:c>
      <x:c r="J103" s="16" t="str">
        <x:v>JPEG</x:v>
      </x:c>
      <x:c r="K103" s="16" t="str">
        <x:v>IMG-L-098</x:v>
      </x:c>
      <x:c r="L103" s="16" t="str"/>
      <x:c r="M103" s="16" t="str">
        <x:v>مرشح للانتقاء مع توثيق المصدر والإصدار</x:v>
      </x:c>
      <x:c r="N103" s="16" t="str">
        <x:v>chapters/chapter-03/index.html#section-3-8؛ evidence/index.html#solids؛ الفصل الثالث: تصميم مختبر المجسمات؛ الفصل الرابع: الواجهات؛ ملحق دليل الطالب</x:v>
      </x:c>
      <x:c r="O103" s="16" t="str">
        <x:v>assets/images/img-l-098.jpeg</x:v>
      </x:c>
      <x:c r="P103" s="16" t="str">
        <x:v>مختبر المجسمات وخصائصها</x:v>
      </x:c>
      <x:c r="Q103" s="16" t="str">
        <x:v>صورة مرئية فقط؛ لا تثبت نتيجة اختبار ولا تطابق النسخة الحالية</x:v>
      </x:c>
      <x:c r="R103" s="40" t="str">
        <x:v>76cd8e3c1074dc3f08084e55b3015a71eee94db1128055a002c1ed4f41e4e53c</x:v>
      </x:c>
    </x:row>
    <x:row r="104" ht="36" hidden="0" customHeight="1">
      <x:c r="A104" s="21" t="str">
        <x:v>IMG-L-099</x:v>
      </x:c>
      <x:c r="B104" s="13" t="str">
        <x:v>مختبر المجسمات وخصائصها</x:v>
      </x:c>
      <x:c r="C104" s="13" t="str">
        <x:v>لقطة/مادة بصرية؛ النوع في الوصف</x:v>
      </x:c>
      <x:c r="D104" s="13" t="str">
        <x:v>images.zip</x:v>
      </x:c>
      <x:c r="E104" s="13" t="str">
        <x:v>images/WhatsApp Image 2026-08-03 at 00.39.02.jpeg</x:v>
      </x:c>
      <x:c r="F104" s="13" t="str">
        <x:v>images/WhatsApp Image 2026-08-03 at 00.39.02.jpeg</x:v>
      </x:c>
      <x:c r="G104" s="27" t="n">
        <x:v>1707</x:v>
      </x:c>
      <x:c r="H104" s="27" t="n">
        <x:v>960</x:v>
      </x:c>
      <x:c r="I104" s="27" t="n">
        <x:v>51066</x:v>
      </x:c>
      <x:c r="J104" s="13" t="str">
        <x:v>JPEG</x:v>
      </x:c>
      <x:c r="K104" s="13" t="str">
        <x:v>IMG-L-099</x:v>
      </x:c>
      <x:c r="L104" s="13" t="str"/>
      <x:c r="M104" s="13" t="str">
        <x:v>مرشح للانتقاء مع توثيق المصدر والإصدار</x:v>
      </x:c>
      <x:c r="N104" s="13" t="str">
        <x:v>chapters/chapter-03/index.html#section-3-8؛ evidence/index.html#solids؛ الفصل الثالث: تصميم مختبر المجسمات؛ الفصل الرابع: الواجهات؛ ملحق دليل الطالب</x:v>
      </x:c>
      <x:c r="O104" s="13" t="str">
        <x:v>assets/images/img-l-099.jpeg</x:v>
      </x:c>
      <x:c r="P104" s="13" t="str">
        <x:v>مختبر المجسمات وخصائصها</x:v>
      </x:c>
      <x:c r="Q104" s="13" t="str">
        <x:v>صورة مرئية فقط؛ لا تثبت نتيجة اختبار ولا تطابق النسخة الحالية</x:v>
      </x:c>
      <x:c r="R104" s="39" t="str">
        <x:v>183b9337aa06cb59327ec2e0d21f92551fcf10a442c01ac6bb615cfa7788235a</x:v>
      </x:c>
    </x:row>
    <x:row r="105" ht="36" hidden="0" customHeight="1">
      <x:c r="A105" s="22" t="str">
        <x:v>IMG-L-100</x:v>
      </x:c>
      <x:c r="B105" s="16" t="str">
        <x:v>التهيئة والترحيب والتنقل</x:v>
      </x:c>
      <x:c r="C105" s="16" t="str">
        <x:v>لقطة/مادة بصرية؛ النوع في الوصف</x:v>
      </x:c>
      <x:c r="D105" s="16" t="str">
        <x:v>images.zip</x:v>
      </x:c>
      <x:c r="E105" s="16" t="str">
        <x:v>images/WhatsApp Image 2026-08-03 at 00.39.12.jpeg</x:v>
      </x:c>
      <x:c r="F105" s="16" t="str">
        <x:v>images/WhatsApp Image 2026-08-03 at 00.39.12.jpeg</x:v>
      </x:c>
      <x:c r="G105" s="28" t="n">
        <x:v>1707</x:v>
      </x:c>
      <x:c r="H105" s="28" t="n">
        <x:v>960</x:v>
      </x:c>
      <x:c r="I105" s="28" t="n">
        <x:v>68476</x:v>
      </x:c>
      <x:c r="J105" s="16" t="str">
        <x:v>JPEG</x:v>
      </x:c>
      <x:c r="K105" s="16" t="str">
        <x:v>IMG-L-100</x:v>
      </x:c>
      <x:c r="L105" s="16" t="str"/>
      <x:c r="M105" s="16" t="str">
        <x:v>مرشح للانتقاء مع توثيق المصدر والإصدار</x:v>
      </x:c>
      <x:c r="N105" s="16" t="str">
        <x:v>chapters/chapter-03/index.html#section-3-9-1؛ development/index.html#before-merge؛ الفصل الثالث: تنظيم المراحل والتفاعل؛ الفصل الرابع: الواجهات؛ ملحق دليل الطالب</x:v>
      </x:c>
      <x:c r="O105" s="16" t="str">
        <x:v>assets/images/img-l-100.jpeg</x:v>
      </x:c>
      <x:c r="P105" s="16" t="str">
        <x:v>التهيئة والترحيب والتنقل</x:v>
      </x:c>
      <x:c r="Q105" s="16" t="str">
        <x:v>صورة مرئية فقط؛ لا تثبت نتيجة اختبار ولا تطابق النسخة الحالية</x:v>
      </x:c>
      <x:c r="R105" s="40" t="str">
        <x:v>2c9cd3abbe4bcfa0be2f9387e15f1b8cdb83e0f836df2753e0c63b1744ba98dc</x:v>
      </x:c>
    </x:row>
    <x:row r="106" ht="36" hidden="0" customHeight="1">
      <x:c r="A106" s="21" t="str">
        <x:v>IMG-L-101</x:v>
      </x:c>
      <x:c r="B106" s="13" t="str">
        <x:v>منصات النشر ولوحة المطور</x:v>
      </x:c>
      <x:c r="C106" s="13" t="str">
        <x:v>لقطة/مادة بصرية؛ النوع في الوصف</x:v>
      </x:c>
      <x:c r="D106" s="13" t="str">
        <x:v>images.zip</x:v>
      </x:c>
      <x:c r="E106" s="13" t="str">
        <x:v>images/WhatsApp Image 2026-08-03 at 00.44.21.jpeg</x:v>
      </x:c>
      <x:c r="F106" s="13" t="str">
        <x:v>images/WhatsApp Image 2026-08-03 at 00.44.21.jpeg</x:v>
      </x:c>
      <x:c r="G106" s="27" t="n">
        <x:v>1664</x:v>
      </x:c>
      <x:c r="H106" s="27" t="n">
        <x:v>936</x:v>
      </x:c>
      <x:c r="I106" s="27" t="n">
        <x:v>113343</x:v>
      </x:c>
      <x:c r="J106" s="13" t="str">
        <x:v>JPEG</x:v>
      </x:c>
      <x:c r="K106" s="13" t="str">
        <x:v>IMG-L-101</x:v>
      </x:c>
      <x:c r="L106" s="13" t="str"/>
      <x:c r="M106" s="13" t="str">
        <x:v>مراجعة بيانات الحساب والعناصر غير المرتبطة ثم اقتصاص/طمس عند الحاجة</x:v>
      </x:c>
      <x:c r="N106" s="13" t="str">
        <x:v>versions/index.html#historical-evidence؛ ملحق النشر والإصدارات؛ يلزم تثبيت التاريخ وحالة النشر من سجل مستقل</x:v>
      </x:c>
      <x:c r="O106" s="13" t="str">
        <x:v>assets/images/img-l-101.jpeg</x:v>
      </x:c>
      <x:c r="P106" s="13" t="str">
        <x:v>منصات النشر ولوحة المطور</x:v>
      </x:c>
      <x:c r="Q106" s="13" t="str">
        <x:v>صورة مرئية فقط؛ لا تثبت نتيجة اختبار ولا تطابق النسخة الحالية</x:v>
      </x:c>
      <x:c r="R106" s="39" t="str">
        <x:v>032612a763add6fb39f7e3e13d5e8e7596698dcb4a148332823f4ba6f693c7d5</x:v>
      </x:c>
    </x:row>
    <x:row r="107" ht="36" hidden="0" customHeight="1">
      <x:c r="A107" s="22" t="str">
        <x:v>IMG-L-102</x:v>
      </x:c>
      <x:c r="B107" s="16" t="str">
        <x:v>منصات النشر ولوحة المطور</x:v>
      </x:c>
      <x:c r="C107" s="16" t="str">
        <x:v>لقطة/مادة بصرية؛ النوع في الوصف</x:v>
      </x:c>
      <x:c r="D107" s="16" t="str">
        <x:v>images_4.zip</x:v>
      </x:c>
      <x:c r="E107" s="16" t="str">
        <x:v>images_4/WhatsApp Image 2026-08-15 at 14.20.35.jpeg</x:v>
      </x:c>
      <x:c r="F107" s="16" t="str">
        <x:v>images_4/WhatsApp Image 2026-08-15 at 14.20.35.jpeg</x:v>
      </x:c>
      <x:c r="G107" s="28" t="n">
        <x:v>1707</x:v>
      </x:c>
      <x:c r="H107" s="28" t="n">
        <x:v>960</x:v>
      </x:c>
      <x:c r="I107" s="28" t="n">
        <x:v>146423</x:v>
      </x:c>
      <x:c r="J107" s="16" t="str">
        <x:v>JPEG</x:v>
      </x:c>
      <x:c r="K107" s="16" t="str">
        <x:v>IMG-L-102</x:v>
      </x:c>
      <x:c r="L107" s="16" t="str"/>
      <x:c r="M107" s="16" t="str">
        <x:v>مراجعة بيانات الحساب والعناصر غير المرتبطة ثم اقتصاص/طمس عند الحاجة</x:v>
      </x:c>
      <x:c r="N107" s="16" t="str">
        <x:v>versions/index.html#historical-evidence؛ ملحق النشر والإصدارات؛ يلزم تثبيت التاريخ وحالة النشر من سجل مستقل</x:v>
      </x:c>
      <x:c r="O107" s="16" t="str">
        <x:v>assets/images/img-l-102.jpeg</x:v>
      </x:c>
      <x:c r="P107" s="16" t="str">
        <x:v>منصات النشر ولوحة المطور</x:v>
      </x:c>
      <x:c r="Q107" s="16" t="str">
        <x:v>صورة مرئية فقط؛ لا تثبت نتيجة اختبار ولا تطابق النسخة الحالية</x:v>
      </x:c>
      <x:c r="R107" s="40" t="str">
        <x:v>41972adf8e5a6a2949f04f47d90e801062f8acb99ecb00f7a9baad253cd5ac64</x:v>
      </x:c>
    </x:row>
    <x:row r="108" ht="36" hidden="0" customHeight="1">
      <x:c r="A108" s="21" t="str">
        <x:v>IMG-L-103</x:v>
      </x:c>
      <x:c r="B108" s="13" t="str">
        <x:v>منصات النشر ولوحة المطور</x:v>
      </x:c>
      <x:c r="C108" s="13" t="str">
        <x:v>لقطة/مادة بصرية؛ النوع في الوصف</x:v>
      </x:c>
      <x:c r="D108" s="13" t="str">
        <x:v>images_4.zip</x:v>
      </x:c>
      <x:c r="E108" s="13" t="str">
        <x:v>images_4/WhatsApp Image 2026-08-15 at 14.20.48.jpeg</x:v>
      </x:c>
      <x:c r="F108" s="13" t="str">
        <x:v>images_4/WhatsApp Image 2026-08-15 at 14.20.48.jpeg</x:v>
      </x:c>
      <x:c r="G108" s="27" t="n">
        <x:v>1707</x:v>
      </x:c>
      <x:c r="H108" s="27" t="n">
        <x:v>960</x:v>
      </x:c>
      <x:c r="I108" s="27" t="n">
        <x:v>147392</x:v>
      </x:c>
      <x:c r="J108" s="13" t="str">
        <x:v>JPEG</x:v>
      </x:c>
      <x:c r="K108" s="13" t="str">
        <x:v>IMG-L-103</x:v>
      </x:c>
      <x:c r="L108" s="13" t="str"/>
      <x:c r="M108" s="13" t="str">
        <x:v>مراجعة بيانات الحساب والعناصر غير المرتبطة ثم اقتصاص/طمس عند الحاجة</x:v>
      </x:c>
      <x:c r="N108" s="13" t="str">
        <x:v>versions/index.html#historical-evidence؛ ملحق النشر والإصدارات؛ يلزم تثبيت التاريخ وحالة النشر من سجل مستقل</x:v>
      </x:c>
      <x:c r="O108" s="13" t="str">
        <x:v>assets/images/img-l-103.jpeg</x:v>
      </x:c>
      <x:c r="P108" s="13" t="str">
        <x:v>منصات النشر ولوحة المطور</x:v>
      </x:c>
      <x:c r="Q108" s="13" t="str">
        <x:v>صورة مرئية فقط؛ لا تثبت نتيجة اختبار ولا تطابق النسخة الحالية</x:v>
      </x:c>
      <x:c r="R108" s="39" t="str">
        <x:v>608fea74fd0d9c2df2f639406d42f68f65fd109e838d25ed16ff484e8a0d815e</x:v>
      </x:c>
    </x:row>
    <x:row r="109" ht="36" hidden="0" customHeight="1">
      <x:c r="A109" s="22" t="str">
        <x:v>IMG-L-104</x:v>
      </x:c>
      <x:c r="B109" s="16" t="str">
        <x:v>منصات النشر ولوحة المطور</x:v>
      </x:c>
      <x:c r="C109" s="16" t="str">
        <x:v>لقطة/مادة بصرية؛ النوع في الوصف</x:v>
      </x:c>
      <x:c r="D109" s="16" t="str">
        <x:v>images_4.zip</x:v>
      </x:c>
      <x:c r="E109" s="16" t="str">
        <x:v>images_4/WhatsApp Image 2026-08-15 at 14.20.58.jpeg</x:v>
      </x:c>
      <x:c r="F109" s="16" t="str">
        <x:v>images_4/WhatsApp Image 2026-08-15 at 14.20.58.jpeg</x:v>
      </x:c>
      <x:c r="G109" s="28" t="n">
        <x:v>1707</x:v>
      </x:c>
      <x:c r="H109" s="28" t="n">
        <x:v>960</x:v>
      </x:c>
      <x:c r="I109" s="28" t="n">
        <x:v>147256</x:v>
      </x:c>
      <x:c r="J109" s="16" t="str">
        <x:v>JPEG</x:v>
      </x:c>
      <x:c r="K109" s="16" t="str">
        <x:v>IMG-L-104</x:v>
      </x:c>
      <x:c r="L109" s="16" t="str"/>
      <x:c r="M109" s="16" t="str">
        <x:v>مراجعة بيانات الحساب والعناصر غير المرتبطة ثم اقتصاص/طمس عند الحاجة</x:v>
      </x:c>
      <x:c r="N109" s="16" t="str">
        <x:v>versions/index.html#historical-evidence؛ ملحق النشر والإصدارات؛ يلزم تثبيت التاريخ وحالة النشر من سجل مستقل</x:v>
      </x:c>
      <x:c r="O109" s="16" t="str">
        <x:v>assets/images/img-l-104.jpeg</x:v>
      </x:c>
      <x:c r="P109" s="16" t="str">
        <x:v>منصات النشر ولوحة المطور</x:v>
      </x:c>
      <x:c r="Q109" s="16" t="str">
        <x:v>صورة مرئية فقط؛ لا تثبت نتيجة اختبار ولا تطابق النسخة الحالية</x:v>
      </x:c>
      <x:c r="R109" s="40" t="str">
        <x:v>350ace7dcde0470c909899b470f118ce788e81007918eab4430ee050b5062dcc</x:v>
      </x:c>
    </x:row>
    <x:row r="110" ht="36" hidden="0" customHeight="1">
      <x:c r="A110" s="21" t="str">
        <x:v>IMG-L-105</x:v>
      </x:c>
      <x:c r="B110" s="13" t="str">
        <x:v>منصات النشر ولوحة المطور</x:v>
      </x:c>
      <x:c r="C110" s="13" t="str">
        <x:v>لقطة/مادة بصرية؛ النوع في الوصف</x:v>
      </x:c>
      <x:c r="D110" s="13" t="str">
        <x:v>images_4.zip</x:v>
      </x:c>
      <x:c r="E110" s="13" t="str">
        <x:v>images_4/WhatsApp Image 2026-08-15 at 14.22.31.jpeg</x:v>
      </x:c>
      <x:c r="F110" s="13" t="str">
        <x:v>images_4/WhatsApp Image 2026-08-15 at 14.22.31.jpeg</x:v>
      </x:c>
      <x:c r="G110" s="27" t="n">
        <x:v>1664</x:v>
      </x:c>
      <x:c r="H110" s="27" t="n">
        <x:v>936</x:v>
      </x:c>
      <x:c r="I110" s="27" t="n">
        <x:v>161574</x:v>
      </x:c>
      <x:c r="J110" s="13" t="str">
        <x:v>JPEG</x:v>
      </x:c>
      <x:c r="K110" s="13" t="str">
        <x:v>IMG-L-105</x:v>
      </x:c>
      <x:c r="L110" s="13" t="str"/>
      <x:c r="M110" s="13" t="str">
        <x:v>مراجعة بيانات الحساب والعناصر غير المرتبطة ثم اقتصاص/طمس عند الحاجة</x:v>
      </x:c>
      <x:c r="N110" s="13" t="str">
        <x:v>versions/index.html#historical-evidence؛ ملحق النشر والإصدارات؛ يلزم تثبيت التاريخ وحالة النشر من سجل مستقل</x:v>
      </x:c>
      <x:c r="O110" s="13" t="str">
        <x:v>assets/images/img-l-105.jpeg</x:v>
      </x:c>
      <x:c r="P110" s="13" t="str">
        <x:v>منصات النشر ولوحة المطور</x:v>
      </x:c>
      <x:c r="Q110" s="13" t="str">
        <x:v>صورة مرئية فقط؛ لا تثبت نتيجة اختبار ولا تطابق النسخة الحالية</x:v>
      </x:c>
      <x:c r="R110" s="39" t="str">
        <x:v>e5f524af8ed2f6305bb3710fdabce47ffe76af36c7072c8d3d4b3cb53b0f2824</x:v>
      </x:c>
    </x:row>
    <x:row r="111" ht="36" hidden="0" customHeight="1">
      <x:c r="A111" s="22" t="str">
        <x:v>IMG-L-106</x:v>
      </x:c>
      <x:c r="B111" s="16" t="str">
        <x:v>واجهات النظارة وإعداداتها</x:v>
      </x:c>
      <x:c r="C111" s="16" t="str">
        <x:v>لقطة/مادة بصرية؛ النوع في الوصف</x:v>
      </x:c>
      <x:c r="D111" s="16" t="str">
        <x:v>images_4.zip</x:v>
      </x:c>
      <x:c r="E111" s="16" t="str">
        <x:v>images_4/WhatsApp Image 2026-08-15 at 14.36.04.jpeg</x:v>
      </x:c>
      <x:c r="F111" s="16" t="str">
        <x:v>images_4/WhatsApp Image 2026-08-15 at 14.36.04.jpeg</x:v>
      </x:c>
      <x:c r="G111" s="28" t="n">
        <x:v>1707</x:v>
      </x:c>
      <x:c r="H111" s="28" t="n">
        <x:v>960</x:v>
      </x:c>
      <x:c r="I111" s="28" t="n">
        <x:v>113095</x:v>
      </x:c>
      <x:c r="J111" s="16" t="str">
        <x:v>JPEG</x:v>
      </x:c>
      <x:c r="K111" s="16" t="str">
        <x:v>IMG-L-106</x:v>
      </x:c>
      <x:c r="L111" s="16" t="str"/>
      <x:c r="M111" s="16" t="str">
        <x:v>مراجعة بيانات الحساب والعناصر غير المرتبطة ثم اقتصاص/طمس عند الحاجة</x:v>
      </x:c>
      <x:c r="N111" s="16" t="str">
        <x:v>versions/index.html#historical-evidence؛ ملحق الإعداد والتشغيل عند الحاجة؛ انتقاء وطمس بيانات الحساب قبل النشر</x:v>
      </x:c>
      <x:c r="O111" s="16" t="str">
        <x:v>assets/images/img-l-106.jpeg</x:v>
      </x:c>
      <x:c r="P111" s="16" t="str">
        <x:v>واجهات النظارة وإعداداتها</x:v>
      </x:c>
      <x:c r="Q111" s="16" t="str">
        <x:v>صورة مرئية فقط؛ لا تثبت نتيجة اختبار ولا تطابق النسخة الحالية</x:v>
      </x:c>
      <x:c r="R111" s="40" t="str">
        <x:v>a63a09f46986096ab6ca322f4cd92287e06d02bad33cba5d5b70f7f0c4859dda</x:v>
      </x:c>
    </x:row>
    <x:row r="112" ht="36" hidden="0" customHeight="1">
      <x:c r="A112" s="21" t="str">
        <x:v>IMG-L-107</x:v>
      </x:c>
      <x:c r="B112" s="13" t="str">
        <x:v>واجهات النظارة وإعداداتها</x:v>
      </x:c>
      <x:c r="C112" s="13" t="str">
        <x:v>لقطة/مادة بصرية؛ النوع في الوصف</x:v>
      </x:c>
      <x:c r="D112" s="13" t="str">
        <x:v>images_4.zip</x:v>
      </x:c>
      <x:c r="E112" s="13" t="str">
        <x:v>images_4/WhatsApp Image 2026-08-15 at 14.36.16.jpeg</x:v>
      </x:c>
      <x:c r="F112" s="13" t="str">
        <x:v>images_4/WhatsApp Image 2026-08-15 at 14.36.16.jpeg</x:v>
      </x:c>
      <x:c r="G112" s="27" t="n">
        <x:v>1707</x:v>
      </x:c>
      <x:c r="H112" s="27" t="n">
        <x:v>960</x:v>
      </x:c>
      <x:c r="I112" s="27" t="n">
        <x:v>115185</x:v>
      </x:c>
      <x:c r="J112" s="13" t="str">
        <x:v>JPEG</x:v>
      </x:c>
      <x:c r="K112" s="13" t="str">
        <x:v>IMG-L-107</x:v>
      </x:c>
      <x:c r="L112" s="13" t="str"/>
      <x:c r="M112" s="13" t="str">
        <x:v>مراجعة بيانات الحساب والعناصر غير المرتبطة ثم اقتصاص/طمس عند الحاجة</x:v>
      </x:c>
      <x:c r="N112" s="13" t="str">
        <x:v>versions/index.html#historical-evidence؛ ملحق الإعداد والتشغيل عند الحاجة؛ انتقاء وطمس بيانات الحساب قبل النشر</x:v>
      </x:c>
      <x:c r="O112" s="13" t="str">
        <x:v>assets/images/img-l-107.jpeg</x:v>
      </x:c>
      <x:c r="P112" s="13" t="str">
        <x:v>واجهات النظارة وإعداداتها</x:v>
      </x:c>
      <x:c r="Q112" s="13" t="str">
        <x:v>صورة مرئية فقط؛ لا تثبت نتيجة اختبار ولا تطابق النسخة الحالية</x:v>
      </x:c>
      <x:c r="R112" s="39" t="str">
        <x:v>d6546115c55710ca43b24ef538b528b85aabb0faaf6e179fb02e3d009e346e86</x:v>
      </x:c>
    </x:row>
    <x:row r="113" ht="36" hidden="0" customHeight="1">
      <x:c r="A113" s="22" t="str">
        <x:v>IMG-L-108</x:v>
      </x:c>
      <x:c r="B113" s="16" t="str">
        <x:v>واجهات النظارة وإعداداتها</x:v>
      </x:c>
      <x:c r="C113" s="16" t="str">
        <x:v>لقطة/مادة بصرية؛ النوع في الوصف</x:v>
      </x:c>
      <x:c r="D113" s="16" t="str">
        <x:v>images_4.zip</x:v>
      </x:c>
      <x:c r="E113" s="16" t="str">
        <x:v>images_4/WhatsApp Image 2026-08-15 at 14.36.27.jpeg</x:v>
      </x:c>
      <x:c r="F113" s="16" t="str">
        <x:v>images_4/WhatsApp Image 2026-08-15 at 14.36.27.jpeg</x:v>
      </x:c>
      <x:c r="G113" s="28" t="n">
        <x:v>1707</x:v>
      </x:c>
      <x:c r="H113" s="28" t="n">
        <x:v>960</x:v>
      </x:c>
      <x:c r="I113" s="28" t="n">
        <x:v>117537</x:v>
      </x:c>
      <x:c r="J113" s="16" t="str">
        <x:v>JPEG</x:v>
      </x:c>
      <x:c r="K113" s="16" t="str">
        <x:v>IMG-L-108</x:v>
      </x:c>
      <x:c r="L113" s="16" t="str"/>
      <x:c r="M113" s="16" t="str">
        <x:v>مراجعة بيانات الحساب والعناصر غير المرتبطة ثم اقتصاص/طمس عند الحاجة</x:v>
      </x:c>
      <x:c r="N113" s="16" t="str">
        <x:v>versions/index.html#historical-evidence؛ ملحق الإعداد والتشغيل عند الحاجة؛ انتقاء وطمس بيانات الحساب قبل النشر</x:v>
      </x:c>
      <x:c r="O113" s="16" t="str">
        <x:v>assets/images/img-l-108.jpeg</x:v>
      </x:c>
      <x:c r="P113" s="16" t="str">
        <x:v>واجهات النظارة وإعداداتها</x:v>
      </x:c>
      <x:c r="Q113" s="16" t="str">
        <x:v>صورة مرئية فقط؛ لا تثبت نتيجة اختبار ولا تطابق النسخة الحالية</x:v>
      </x:c>
      <x:c r="R113" s="40" t="str">
        <x:v>67a733842508788fc6ae86d787b2ea5ebae6006f93d94bd4b3343f0e3d5e4ac3</x:v>
      </x:c>
    </x:row>
    <x:row r="114" ht="36" hidden="0" customHeight="1">
      <x:c r="A114" s="21" t="str">
        <x:v>IMG-L-109</x:v>
      </x:c>
      <x:c r="B114" s="13" t="str">
        <x:v>واجهات النظارة وإعداداتها</x:v>
      </x:c>
      <x:c r="C114" s="13" t="str">
        <x:v>لقطة/مادة بصرية؛ النوع في الوصف</x:v>
      </x:c>
      <x:c r="D114" s="13" t="str">
        <x:v>images_4.zip</x:v>
      </x:c>
      <x:c r="E114" s="13" t="str">
        <x:v>images_4/WhatsApp Image 2026-08-15 at 14.36.37.jpeg</x:v>
      </x:c>
      <x:c r="F114" s="13" t="str">
        <x:v>images_4/WhatsApp Image 2026-08-15 at 14.36.37.jpeg</x:v>
      </x:c>
      <x:c r="G114" s="27" t="n">
        <x:v>1707</x:v>
      </x:c>
      <x:c r="H114" s="27" t="n">
        <x:v>960</x:v>
      </x:c>
      <x:c r="I114" s="27" t="n">
        <x:v>118014</x:v>
      </x:c>
      <x:c r="J114" s="13" t="str">
        <x:v>JPEG</x:v>
      </x:c>
      <x:c r="K114" s="13" t="str">
        <x:v>IMG-L-109</x:v>
      </x:c>
      <x:c r="L114" s="13" t="str"/>
      <x:c r="M114" s="13" t="str">
        <x:v>مراجعة بيانات الحساب والعناصر غير المرتبطة ثم اقتصاص/طمس عند الحاجة</x:v>
      </x:c>
      <x:c r="N114" s="13" t="str">
        <x:v>versions/index.html#historical-evidence؛ ملحق الإعداد والتشغيل عند الحاجة؛ انتقاء وطمس بيانات الحساب قبل النشر</x:v>
      </x:c>
      <x:c r="O114" s="13" t="str">
        <x:v>assets/images/img-l-109.jpeg</x:v>
      </x:c>
      <x:c r="P114" s="13" t="str">
        <x:v>واجهات النظارة وإعداداتها</x:v>
      </x:c>
      <x:c r="Q114" s="13" t="str">
        <x:v>صورة مرئية فقط؛ لا تثبت نتيجة اختبار ولا تطابق النسخة الحالية</x:v>
      </x:c>
      <x:c r="R114" s="39" t="str">
        <x:v>f429da60a9b7640cf20d61f8d3b69c22acadfbe85b95bd320c165b10d7d5f286</x:v>
      </x:c>
    </x:row>
    <x:row r="115" ht="36" hidden="0" customHeight="1">
      <x:c r="A115" s="22" t="str">
        <x:v>IMG-L-110</x:v>
      </x:c>
      <x:c r="B115" s="16" t="str">
        <x:v>واجهات النظارة وإعداداتها</x:v>
      </x:c>
      <x:c r="C115" s="16" t="str">
        <x:v>لقطة/مادة بصرية؛ النوع في الوصف</x:v>
      </x:c>
      <x:c r="D115" s="16" t="str">
        <x:v>images_4.zip</x:v>
      </x:c>
      <x:c r="E115" s="16" t="str">
        <x:v>images_4/WhatsApp Image 2026-08-15 at 14.36.50.jpeg</x:v>
      </x:c>
      <x:c r="F115" s="16" t="str">
        <x:v>images_4/WhatsApp Image 2026-08-15 at 14.36.50.jpeg</x:v>
      </x:c>
      <x:c r="G115" s="28" t="n">
        <x:v>1707</x:v>
      </x:c>
      <x:c r="H115" s="28" t="n">
        <x:v>960</x:v>
      </x:c>
      <x:c r="I115" s="28" t="n">
        <x:v>101825</x:v>
      </x:c>
      <x:c r="J115" s="16" t="str">
        <x:v>JPEG</x:v>
      </x:c>
      <x:c r="K115" s="16" t="str">
        <x:v>IMG-L-110</x:v>
      </x:c>
      <x:c r="L115" s="16" t="str"/>
      <x:c r="M115" s="16" t="str">
        <x:v>مراجعة بيانات الحساب والعناصر غير المرتبطة ثم اقتصاص/طمس عند الحاجة</x:v>
      </x:c>
      <x:c r="N115" s="16" t="str">
        <x:v>versions/index.html#historical-evidence؛ ملحق الإعداد والتشغيل عند الحاجة؛ انتقاء وطمس بيانات الحساب قبل النشر</x:v>
      </x:c>
      <x:c r="O115" s="16" t="str">
        <x:v>assets/images/img-l-110.jpeg</x:v>
      </x:c>
      <x:c r="P115" s="16" t="str">
        <x:v>واجهات النظارة وإعداداتها</x:v>
      </x:c>
      <x:c r="Q115" s="16" t="str">
        <x:v>صورة مرئية فقط؛ لا تثبت نتيجة اختبار ولا تطابق النسخة الحالية</x:v>
      </x:c>
      <x:c r="R115" s="40" t="str">
        <x:v>25523543641b16e18af8d0f0346bd9a0c74e1c00b75b576f378d6d2bf43591f3</x:v>
      </x:c>
    </x:row>
    <x:row r="116" ht="36" hidden="0" customHeight="1">
      <x:c r="A116" s="21" t="str">
        <x:v>IMG-L-111</x:v>
      </x:c>
      <x:c r="B116" s="13" t="str">
        <x:v>واجهات النظارة وإعداداتها</x:v>
      </x:c>
      <x:c r="C116" s="13" t="str">
        <x:v>لقطة/مادة بصرية؛ النوع في الوصف</x:v>
      </x:c>
      <x:c r="D116" s="13" t="str">
        <x:v>images_4.zip</x:v>
      </x:c>
      <x:c r="E116" s="13" t="str">
        <x:v>images_4/WhatsApp Image 2026-08-15 at 14.37.01.jpeg</x:v>
      </x:c>
      <x:c r="F116" s="13" t="str">
        <x:v>images_4/WhatsApp Image 2026-08-15 at 14.37.01.jpeg</x:v>
      </x:c>
      <x:c r="G116" s="27" t="n">
        <x:v>1707</x:v>
      </x:c>
      <x:c r="H116" s="27" t="n">
        <x:v>960</x:v>
      </x:c>
      <x:c r="I116" s="27" t="n">
        <x:v>117109</x:v>
      </x:c>
      <x:c r="J116" s="13" t="str">
        <x:v>JPEG</x:v>
      </x:c>
      <x:c r="K116" s="13" t="str">
        <x:v>IMG-L-111</x:v>
      </x:c>
      <x:c r="L116" s="13" t="str"/>
      <x:c r="M116" s="13" t="str">
        <x:v>مراجعة بيانات الحساب والعناصر غير المرتبطة ثم اقتصاص/طمس عند الحاجة</x:v>
      </x:c>
      <x:c r="N116" s="13" t="str">
        <x:v>versions/index.html#historical-evidence؛ ملحق الإعداد والتشغيل عند الحاجة؛ انتقاء وطمس بيانات الحساب قبل النشر</x:v>
      </x:c>
      <x:c r="O116" s="13" t="str">
        <x:v>assets/images/img-l-111.jpeg</x:v>
      </x:c>
      <x:c r="P116" s="13" t="str">
        <x:v>واجهات النظارة وإعداداتها</x:v>
      </x:c>
      <x:c r="Q116" s="13" t="str">
        <x:v>صورة مرئية فقط؛ لا تثبت نتيجة اختبار ولا تطابق النسخة الحالية</x:v>
      </x:c>
      <x:c r="R116" s="39" t="str">
        <x:v>a7435c94bb17a136bdba5b4da59091617029b089f282ce7f11cab2dbb9def18e</x:v>
      </x:c>
    </x:row>
    <x:row r="117" ht="36" hidden="0" customHeight="1">
      <x:c r="A117" s="22" t="str">
        <x:v>IMG-L-112</x:v>
      </x:c>
      <x:c r="B117" s="16" t="str">
        <x:v>واجهات النظارة وإعداداتها</x:v>
      </x:c>
      <x:c r="C117" s="16" t="str">
        <x:v>لقطة/مادة بصرية؛ النوع في الوصف</x:v>
      </x:c>
      <x:c r="D117" s="16" t="str">
        <x:v>images_4.zip</x:v>
      </x:c>
      <x:c r="E117" s="16" t="str">
        <x:v>images_4/WhatsApp Image 2026-08-15 at 14.37.12.jpeg</x:v>
      </x:c>
      <x:c r="F117" s="16" t="str">
        <x:v>images_4/WhatsApp Image 2026-08-15 at 14.37.12.jpeg</x:v>
      </x:c>
      <x:c r="G117" s="28" t="n">
        <x:v>1707</x:v>
      </x:c>
      <x:c r="H117" s="28" t="n">
        <x:v>960</x:v>
      </x:c>
      <x:c r="I117" s="28" t="n">
        <x:v>95369</x:v>
      </x:c>
      <x:c r="J117" s="16" t="str">
        <x:v>JPEG</x:v>
      </x:c>
      <x:c r="K117" s="16" t="str">
        <x:v>IMG-L-112</x:v>
      </x:c>
      <x:c r="L117" s="16" t="str"/>
      <x:c r="M117" s="16" t="str">
        <x:v>مراجعة بيانات الحساب والعناصر غير المرتبطة ثم اقتصاص/طمس عند الحاجة</x:v>
      </x:c>
      <x:c r="N117" s="16" t="str">
        <x:v>versions/index.html#historical-evidence؛ ملحق الإعداد والتشغيل عند الحاجة؛ انتقاء وطمس بيانات الحساب قبل النشر</x:v>
      </x:c>
      <x:c r="O117" s="16" t="str">
        <x:v>assets/images/img-l-112.jpeg</x:v>
      </x:c>
      <x:c r="P117" s="16" t="str">
        <x:v>واجهات النظارة وإعداداتها</x:v>
      </x:c>
      <x:c r="Q117" s="16" t="str">
        <x:v>صورة مرئية فقط؛ لا تثبت نتيجة اختبار ولا تطابق النسخة الحالية</x:v>
      </x:c>
      <x:c r="R117" s="40" t="str">
        <x:v>755b900d5fc3ccfae0b05f8f0ed704b401fc3aa68db1ce5c8e2381493b8bd62b</x:v>
      </x:c>
    </x:row>
    <x:row r="118" ht="36" hidden="0" customHeight="1">
      <x:c r="A118" s="21" t="str">
        <x:v>IMG-L-113</x:v>
      </x:c>
      <x:c r="B118" s="13" t="str">
        <x:v>واجهات النظارة وإعداداتها</x:v>
      </x:c>
      <x:c r="C118" s="13" t="str">
        <x:v>لقطة/مادة بصرية؛ النوع في الوصف</x:v>
      </x:c>
      <x:c r="D118" s="13" t="str">
        <x:v>images_4.zip</x:v>
      </x:c>
      <x:c r="E118" s="13" t="str">
        <x:v>images_4/WhatsApp Image 2026-08-15 at 14.37.21.jpeg</x:v>
      </x:c>
      <x:c r="F118" s="13" t="str">
        <x:v>images_4/WhatsApp Image 2026-08-15 at 14.37.21.jpeg</x:v>
      </x:c>
      <x:c r="G118" s="27" t="n">
        <x:v>1707</x:v>
      </x:c>
      <x:c r="H118" s="27" t="n">
        <x:v>960</x:v>
      </x:c>
      <x:c r="I118" s="27" t="n">
        <x:v>95650</x:v>
      </x:c>
      <x:c r="J118" s="13" t="str">
        <x:v>JPEG</x:v>
      </x:c>
      <x:c r="K118" s="13" t="str">
        <x:v>IMG-L-113</x:v>
      </x:c>
      <x:c r="L118" s="13" t="str"/>
      <x:c r="M118" s="13" t="str">
        <x:v>مراجعة بيانات الحساب والعناصر غير المرتبطة ثم اقتصاص/طمس عند الحاجة</x:v>
      </x:c>
      <x:c r="N118" s="13" t="str">
        <x:v>versions/index.html#historical-evidence؛ ملحق الإعداد والتشغيل عند الحاجة؛ انتقاء وطمس بيانات الحساب قبل النشر</x:v>
      </x:c>
      <x:c r="O118" s="13" t="str">
        <x:v>assets/images/img-l-113.jpeg</x:v>
      </x:c>
      <x:c r="P118" s="13" t="str">
        <x:v>واجهات النظارة وإعداداتها</x:v>
      </x:c>
      <x:c r="Q118" s="13" t="str">
        <x:v>صورة مرئية فقط؛ لا تثبت نتيجة اختبار ولا تطابق النسخة الحالية</x:v>
      </x:c>
      <x:c r="R118" s="39" t="str">
        <x:v>685b7467ab155eeeef4dc014d92bf85904d6acb193f2dc8c4c21df79129be374</x:v>
      </x:c>
    </x:row>
    <x:row r="119" ht="36" hidden="0" customHeight="1">
      <x:c r="A119" s="22" t="str">
        <x:v>IMG-L-114</x:v>
      </x:c>
      <x:c r="B119" s="16" t="str">
        <x:v>التهيئة والترحيب والتنقل</x:v>
      </x:c>
      <x:c r="C119" s="16" t="str">
        <x:v>لقطة/مادة بصرية؛ النوع في الوصف</x:v>
      </x:c>
      <x:c r="D119" s="16" t="str">
        <x:v>images_4.zip</x:v>
      </x:c>
      <x:c r="E119" s="16" t="str">
        <x:v>images_4/WhatsApp Image 2026-08-15 at 14.37.40.jpeg</x:v>
      </x:c>
      <x:c r="F119" s="16" t="str">
        <x:v>images_4/WhatsApp Image 2026-08-15 at 14.37.40.jpeg</x:v>
      </x:c>
      <x:c r="G119" s="28" t="n">
        <x:v>1707</x:v>
      </x:c>
      <x:c r="H119" s="28" t="n">
        <x:v>960</x:v>
      </x:c>
      <x:c r="I119" s="28" t="n">
        <x:v>61986</x:v>
      </x:c>
      <x:c r="J119" s="16" t="str">
        <x:v>JPEG</x:v>
      </x:c>
      <x:c r="K119" s="16" t="str">
        <x:v>IMG-L-114</x:v>
      </x:c>
      <x:c r="L119" s="16" t="str"/>
      <x:c r="M119" s="16" t="str">
        <x:v>مرشح للانتقاء مع توثيق المصدر والإصدار</x:v>
      </x:c>
      <x:c r="N119" s="16" t="str">
        <x:v>chapters/chapter-03/index.html#section-3-9-1؛ development/index.html#before-merge؛ الفصل الثالث: تنظيم المراحل والتفاعل؛ الفصل الرابع: الواجهات؛ ملحق دليل الطالب</x:v>
      </x:c>
      <x:c r="O119" s="16" t="str">
        <x:v>assets/images/img-l-114.jpeg</x:v>
      </x:c>
      <x:c r="P119" s="16" t="str">
        <x:v>التهيئة والترحيب والتنقل</x:v>
      </x:c>
      <x:c r="Q119" s="16" t="str">
        <x:v>صورة مرئية فقط؛ لا تثبت نتيجة اختبار ولا تطابق النسخة الحالية</x:v>
      </x:c>
      <x:c r="R119" s="40" t="str">
        <x:v>a626c892cde89e86d88aa48df35bf6b079f32047da555c06e5024c4df8adb980</x:v>
      </x:c>
    </x:row>
    <x:row r="120" ht="36" hidden="0" customHeight="1">
      <x:c r="A120" s="21" t="str">
        <x:v>IMG-L-115</x:v>
      </x:c>
      <x:c r="B120" s="13" t="str">
        <x:v>شاشات الفيديو التعليمية داخل المختبر</x:v>
      </x:c>
      <x:c r="C120" s="13" t="str">
        <x:v>لقطة/مادة بصرية؛ النوع في الوصف</x:v>
      </x:c>
      <x:c r="D120" s="13" t="str">
        <x:v>images_4.zip</x:v>
      </x:c>
      <x:c r="E120" s="13" t="str">
        <x:v>images_4/WhatsApp Image 2026-08-15 at 14.37.49.jpeg</x:v>
      </x:c>
      <x:c r="F120" s="13" t="str">
        <x:v>images_4/WhatsApp Image 2026-08-15 at 14.37.49.jpeg</x:v>
      </x:c>
      <x:c r="G120" s="27" t="n">
        <x:v>1707</x:v>
      </x:c>
      <x:c r="H120" s="27" t="n">
        <x:v>960</x:v>
      </x:c>
      <x:c r="I120" s="27" t="n">
        <x:v>73158</x:v>
      </x:c>
      <x:c r="J120" s="13" t="str">
        <x:v>JPEG</x:v>
      </x:c>
      <x:c r="K120" s="13" t="str">
        <x:v>IMG-L-115</x:v>
      </x:c>
      <x:c r="L120" s="13" t="str"/>
      <x:c r="M120" s="13" t="str">
        <x:v>مرشح للانتقاء مع توثيق المصدر والإصدار</x:v>
      </x:c>
      <x:c r="N120" s="13" t="str">
        <x:v>chapters/chapter-03/index.html#section-3-8؛ evidence/index.html#solids؛ الفصل الثالث: الوسائط التعليمية؛ الفصل الرابع: الواجهات؛ ملحق دليل الاستخدام</x:v>
      </x:c>
      <x:c r="O120" s="13" t="str">
        <x:v>assets/images/img-l-115.jpeg</x:v>
      </x:c>
      <x:c r="P120" s="13" t="str">
        <x:v>شاشات الفيديو التعليمية داخل المختبر</x:v>
      </x:c>
      <x:c r="Q120" s="13" t="str">
        <x:v>صورة مرئية فقط؛ لا تثبت نتيجة اختبار ولا تطابق النسخة الحالية</x:v>
      </x:c>
      <x:c r="R120" s="39" t="str">
        <x:v>a126721d62118058c3edfd4eb9ed2147b5ee40772a75ca9d5b5274560b36af31</x:v>
      </x:c>
    </x:row>
    <x:row r="121" ht="36" hidden="0" customHeight="1">
      <x:c r="A121" s="22" t="str">
        <x:v>IMG-L-116</x:v>
      </x:c>
      <x:c r="B121" s="16" t="str">
        <x:v>منصات النشر ولوحة المطور</x:v>
      </x:c>
      <x:c r="C121" s="16" t="str">
        <x:v>لقطة/مادة بصرية؛ النوع في الوصف</x:v>
      </x:c>
      <x:c r="D121" s="16" t="str">
        <x:v>images_4.zip</x:v>
      </x:c>
      <x:c r="E121" s="16" t="str">
        <x:v>images_4/WhatsApp Image 2026-08-15 at 14.38.28.jpeg</x:v>
      </x:c>
      <x:c r="F121" s="16" t="str">
        <x:v>images_4/WhatsApp Image 2026-08-15 at 14.38.28.jpeg</x:v>
      </x:c>
      <x:c r="G121" s="28" t="n">
        <x:v>1664</x:v>
      </x:c>
      <x:c r="H121" s="28" t="n">
        <x:v>936</x:v>
      </x:c>
      <x:c r="I121" s="28" t="n">
        <x:v>141294</x:v>
      </x:c>
      <x:c r="J121" s="16" t="str">
        <x:v>JPEG</x:v>
      </x:c>
      <x:c r="K121" s="16" t="str">
        <x:v>IMG-L-116</x:v>
      </x:c>
      <x:c r="L121" s="16" t="str"/>
      <x:c r="M121" s="16" t="str">
        <x:v>مراجعة بيانات الحساب والعناصر غير المرتبطة ثم اقتصاص/طمس عند الحاجة</x:v>
      </x:c>
      <x:c r="N121" s="16" t="str">
        <x:v>versions/index.html#historical-evidence؛ ملحق النشر والإصدارات؛ يلزم تثبيت التاريخ وحالة النشر من سجل مستقل</x:v>
      </x:c>
      <x:c r="O121" s="16" t="str">
        <x:v>assets/images/img-l-116.jpeg</x:v>
      </x:c>
      <x:c r="P121" s="16" t="str">
        <x:v>منصات النشر ولوحة المطور</x:v>
      </x:c>
      <x:c r="Q121" s="16" t="str">
        <x:v>صورة مرئية فقط؛ لا تثبت نتيجة اختبار ولا تطابق النسخة الحالية</x:v>
      </x:c>
      <x:c r="R121" s="40" t="str">
        <x:v>7b9ca729e7e076b0b73500510c8e2718bc316bbd1d74989873f29cd165447638</x:v>
      </x:c>
    </x:row>
    <x:row r="122" ht="36" hidden="0" customHeight="1">
      <x:c r="A122" s="21" t="str">
        <x:v>IMG-S-001</x:v>
      </x:c>
      <x:c r="B122" s="13" t="str">
        <x:v>مقاطع المخروط: مستوى رأسي ونتيجة مثلث</x:v>
      </x:c>
      <x:c r="C122" s="13" t="str">
        <x:v>لقطة واجهة من التطبيق</x:v>
      </x:c>
      <x:c r="D122" s="13" t="str">
        <x:v>images_5.zip</x:v>
      </x:c>
      <x:c r="E122" s="13" t="str">
        <x:v>images_5/1.jpeg</x:v>
      </x:c>
      <x:c r="F122" s="13" t="str">
        <x:v>images_5/1.jpeg</x:v>
      </x:c>
      <x:c r="G122" s="27" t="n">
        <x:v>1707</x:v>
      </x:c>
      <x:c r="H122" s="27" t="n">
        <x:v>960</x:v>
      </x:c>
      <x:c r="I122" s="27" t="n">
        <x:v>136646</x:v>
      </x:c>
      <x:c r="J122" s="13" t="str">
        <x:v>JPEG</x:v>
      </x:c>
      <x:c r="K122" s="13" t="str">
        <x:v>IMG-S-001</x:v>
      </x:c>
      <x:c r="L122" s="13" t="str"/>
      <x:c r="M122" s="13" t="str">
        <x:v>صالحة للتوثيق التاريخي بعد ربطها بإصدار وتاريخ</x:v>
      </x:c>
      <x:c r="N122" s="13" t="str">
        <x:v>chapters/chapter-03/index.html#section-3-8؛ chapters/chapter-04/index.html#section-4-3؛ evidence/index.html#cross-sections</x:v>
      </x:c>
      <x:c r="O122" s="13" t="str">
        <x:v>assets/images/img-s-001.jpeg</x:v>
      </x:c>
      <x:c r="P122" s="13" t="str">
        <x:v>لقطة مختبر المقاطع تظهر اختيار المخروط والمستوى الرأسي ونتيجة Triangle على شاشة المعلومات.</x:v>
      </x:c>
      <x:c r="Q122" s="13" t="str">
        <x:v>توثّق الحالة المرئية للواجهة فقط؛ لا تثبت التشغيل المستقل أو التزامن الصوتي أو صحة جميع نتائج القطع. تاريخ الالتقاط وإصدار التطبيق يحتاجان إلى تثبيت مستقل.</x:v>
      </x:c>
      <x:c r="R122" s="39" t="str">
        <x:v>3ef89923640d8428c9b1023f1fa9ff86256da8625e7f834e5be57a237b751152</x:v>
      </x:c>
    </x:row>
    <x:row r="123" ht="36" hidden="0" customHeight="1">
      <x:c r="A123" s="22" t="str">
        <x:v>IMG-S-002</x:v>
      </x:c>
      <x:c r="B123" s="16" t="str">
        <x:v>مقاطع المكعب: مستوى أفقي ونتيجة مربع</x:v>
      </x:c>
      <x:c r="C123" s="16" t="str">
        <x:v>لقطة واجهة من التطبيق</x:v>
      </x:c>
      <x:c r="D123" s="16" t="str">
        <x:v>images_5.zip</x:v>
      </x:c>
      <x:c r="E123" s="16" t="str">
        <x:v>images_5/10.jpeg</x:v>
      </x:c>
      <x:c r="F123" s="16" t="str">
        <x:v>images_5/10.jpeg</x:v>
      </x:c>
      <x:c r="G123" s="28" t="n">
        <x:v>1707</x:v>
      </x:c>
      <x:c r="H123" s="28" t="n">
        <x:v>960</x:v>
      </x:c>
      <x:c r="I123" s="28" t="n">
        <x:v>136300</x:v>
      </x:c>
      <x:c r="J123" s="16" t="str">
        <x:v>JPEG</x:v>
      </x:c>
      <x:c r="K123" s="16" t="str">
        <x:v>IMG-S-002</x:v>
      </x:c>
      <x:c r="L123" s="16" t="str"/>
      <x:c r="M123" s="16" t="str">
        <x:v>صالحة للتوثيق التاريخي بعد ربطها بإصدار وتاريخ</x:v>
      </x:c>
      <x:c r="N123" s="16" t="str">
        <x:v>chapters/chapter-03/index.html#section-3-8؛ chapters/chapter-04/index.html#section-4-3؛ evidence/index.html#cross-sections</x:v>
      </x:c>
      <x:c r="O123" s="16" t="str">
        <x:v>assets/images/img-s-002.jpeg</x:v>
      </x:c>
      <x:c r="P123" s="16" t="str">
        <x:v>لقطة مختبر المقاطع تظهر اختيار المكعب والمستوى الأفقي ونتيجة Square.</x:v>
      </x:c>
      <x:c r="Q123" s="16" t="str">
        <x:v>توثّق الحالة المرئية للواجهة فقط؛ لا تثبت التشغيل المستقل أو التزامن الصوتي أو صحة جميع نتائج القطع. تاريخ الالتقاط وإصدار التطبيق يحتاجان إلى تثبيت مستقل.</x:v>
      </x:c>
      <x:c r="R123" s="40" t="str">
        <x:v>8d7c04aaefdc64441c5e26fb87b975363337dd55de3b8d9499b0ff06ef8bb19d</x:v>
      </x:c>
    </x:row>
    <x:row r="124" ht="36" hidden="0" customHeight="1">
      <x:c r="A124" s="21" t="str">
        <x:v>IMG-S-003</x:v>
      </x:c>
      <x:c r="B124" s="13" t="str">
        <x:v>مقاطع المخروط: مستوى أفقي ونتيجة دائرة</x:v>
      </x:c>
      <x:c r="C124" s="13" t="str">
        <x:v>لقطة واجهة من التطبيق</x:v>
      </x:c>
      <x:c r="D124" s="13" t="str">
        <x:v>images_5.zip</x:v>
      </x:c>
      <x:c r="E124" s="13" t="str">
        <x:v>images_5/2.jpeg</x:v>
      </x:c>
      <x:c r="F124" s="13" t="str">
        <x:v>images_5/2.jpeg</x:v>
      </x:c>
      <x:c r="G124" s="27" t="n">
        <x:v>1707</x:v>
      </x:c>
      <x:c r="H124" s="27" t="n">
        <x:v>960</x:v>
      </x:c>
      <x:c r="I124" s="27" t="n">
        <x:v>133892</x:v>
      </x:c>
      <x:c r="J124" s="13" t="str">
        <x:v>JPEG</x:v>
      </x:c>
      <x:c r="K124" s="13" t="str">
        <x:v>IMG-S-003</x:v>
      </x:c>
      <x:c r="L124" s="13" t="str"/>
      <x:c r="M124" s="13" t="str">
        <x:v>صالحة للتوثيق التاريخي بعد ربطها بإصدار وتاريخ</x:v>
      </x:c>
      <x:c r="N124" s="13" t="str">
        <x:v>chapters/chapter-03/index.html#section-3-8؛ chapters/chapter-04/index.html#section-4-3؛ evidence/index.html#cross-sections</x:v>
      </x:c>
      <x:c r="O124" s="13" t="str">
        <x:v>assets/images/img-s-003.jpeg</x:v>
      </x:c>
      <x:c r="P124" s="13" t="str">
        <x:v>لقطة مختبر المقاطع تظهر اختيار المخروط والمستوى الأفقي ونتيجة Circle.</x:v>
      </x:c>
      <x:c r="Q124" s="13" t="str">
        <x:v>توثّق الحالة المرئية للواجهة فقط؛ لا تثبت التشغيل المستقل أو التزامن الصوتي أو صحة جميع نتائج القطع. تاريخ الالتقاط وإصدار التطبيق يحتاجان إلى تثبيت مستقل.</x:v>
      </x:c>
      <x:c r="R124" s="39" t="str">
        <x:v>86ded49eb6ef910312c046b4fbc126bfec2526188bc0359fba58baaecbc82f63</x:v>
      </x:c>
    </x:row>
    <x:row r="125" ht="36" hidden="0" customHeight="1">
      <x:c r="A125" s="22" t="str">
        <x:v>IMG-S-004</x:v>
      </x:c>
      <x:c r="B125" s="16" t="str">
        <x:v>مقاطع المكعب: مستوى رأسي ومحطة النتيجة</x:v>
      </x:c>
      <x:c r="C125" s="16" t="str">
        <x:v>لقطة واجهة من التطبيق</x:v>
      </x:c>
      <x:c r="D125" s="16" t="str">
        <x:v>images_5.zip</x:v>
      </x:c>
      <x:c r="E125" s="16" t="str">
        <x:v>images_5/20.jpeg</x:v>
      </x:c>
      <x:c r="F125" s="16" t="str">
        <x:v>images_5/20.jpeg</x:v>
      </x:c>
      <x:c r="G125" s="28" t="n">
        <x:v>1707</x:v>
      </x:c>
      <x:c r="H125" s="28" t="n">
        <x:v>960</x:v>
      </x:c>
      <x:c r="I125" s="28" t="n">
        <x:v>122897</x:v>
      </x:c>
      <x:c r="J125" s="16" t="str">
        <x:v>JPEG</x:v>
      </x:c>
      <x:c r="K125" s="16" t="str">
        <x:v>IMG-S-004</x:v>
      </x:c>
      <x:c r="L125" s="16" t="str"/>
      <x:c r="M125" s="16" t="str">
        <x:v>صالحة للتوثيق التاريخي بعد ربطها بإصدار وتاريخ</x:v>
      </x:c>
      <x:c r="N125" s="16" t="str">
        <x:v>chapters/chapter-03/index.html#section-3-8؛ chapters/chapter-04/index.html#section-4-3؛ evidence/index.html#cross-sections</x:v>
      </x:c>
      <x:c r="O125" s="16" t="str">
        <x:v>assets/images/img-s-004.jpeg</x:v>
      </x:c>
      <x:c r="P125" s="16" t="str">
        <x:v>لقطة قريبة تظهر مكعبًا ومستوى قطع رأسيًا ومحطة مقطع مربع؛ شاشة المعلومات تعلن Square.</x:v>
      </x:c>
      <x:c r="Q125" s="16" t="str">
        <x:v>توثّق الحالة المرئية للواجهة فقط؛ لا تثبت التشغيل المستقل أو التزامن الصوتي أو صحة جميع نتائج القطع. تاريخ الالتقاط وإصدار التطبيق يحتاجان إلى تثبيت مستقل.</x:v>
      </x:c>
      <x:c r="R125" s="40" t="str">
        <x:v>6ecb354d622025b4a70274583b10e3b63fd8dea2ab74564ac1136ed8b10b556b</x:v>
      </x:c>
    </x:row>
    <x:row r="126" ht="36" hidden="0" customHeight="1">
      <x:c r="A126" s="21" t="str">
        <x:v>IMG-S-005</x:v>
      </x:c>
      <x:c r="B126" s="13" t="str">
        <x:v>مقاطع المكعب: مستوى رأسي ونتيجة مربع</x:v>
      </x:c>
      <x:c r="C126" s="13" t="str">
        <x:v>لقطة واجهة من التطبيق</x:v>
      </x:c>
      <x:c r="D126" s="13" t="str">
        <x:v>images_5.zip</x:v>
      </x:c>
      <x:c r="E126" s="13" t="str">
        <x:v>images_5/21.jpeg</x:v>
      </x:c>
      <x:c r="F126" s="13" t="str">
        <x:v>images_5/21.jpeg</x:v>
      </x:c>
      <x:c r="G126" s="27" t="n">
        <x:v>1707</x:v>
      </x:c>
      <x:c r="H126" s="27" t="n">
        <x:v>960</x:v>
      </x:c>
      <x:c r="I126" s="27" t="n">
        <x:v>128144</x:v>
      </x:c>
      <x:c r="J126" s="13" t="str">
        <x:v>JPEG</x:v>
      </x:c>
      <x:c r="K126" s="13" t="str">
        <x:v>IMG-S-005</x:v>
      </x:c>
      <x:c r="L126" s="13" t="str"/>
      <x:c r="M126" s="13" t="str">
        <x:v>صالحة للتوثيق التاريخي بعد ربطها بإصدار وتاريخ</x:v>
      </x:c>
      <x:c r="N126" s="13" t="str">
        <x:v>chapters/chapter-03/index.html#section-3-8؛ chapters/chapter-04/index.html#section-4-3؛ evidence/index.html#cross-sections</x:v>
      </x:c>
      <x:c r="O126" s="13" t="str">
        <x:v>assets/images/img-s-005.jpeg</x:v>
      </x:c>
      <x:c r="P126" s="13" t="str">
        <x:v>لقطة مختبر المقاطع تظهر اختيار المكعب والمستوى الرأسي ونتيجة Square.</x:v>
      </x:c>
      <x:c r="Q126" s="13" t="str">
        <x:v>توثّق الحالة المرئية للواجهة فقط؛ لا تثبت التشغيل المستقل أو التزامن الصوتي أو صحة جميع نتائج القطع. تاريخ الالتقاط وإصدار التطبيق يحتاجان إلى تثبيت مستقل.</x:v>
      </x:c>
      <x:c r="R126" s="39" t="str">
        <x:v>79553de198d8c479d1efc6fd3c2680e505967b95c9d467d97e71e483de49960d</x:v>
      </x:c>
    </x:row>
    <x:row r="127" ht="36" hidden="0" customHeight="1">
      <x:c r="A127" s="22" t="str">
        <x:v>IMG-S-006</x:v>
      </x:c>
      <x:c r="B127" s="16" t="str">
        <x:v>مقاطع المكعب: مستوى أفقي ومحطة النتيجة</x:v>
      </x:c>
      <x:c r="C127" s="16" t="str">
        <x:v>لقطة واجهة من التطبيق</x:v>
      </x:c>
      <x:c r="D127" s="16" t="str">
        <x:v>images_5.zip</x:v>
      </x:c>
      <x:c r="E127" s="16" t="str">
        <x:v>images_5/22.jpeg</x:v>
      </x:c>
      <x:c r="F127" s="16" t="str">
        <x:v>images_5/22.jpeg</x:v>
      </x:c>
      <x:c r="G127" s="28" t="n">
        <x:v>1707</x:v>
      </x:c>
      <x:c r="H127" s="28" t="n">
        <x:v>960</x:v>
      </x:c>
      <x:c r="I127" s="28" t="n">
        <x:v>128093</x:v>
      </x:c>
      <x:c r="J127" s="16" t="str">
        <x:v>JPEG</x:v>
      </x:c>
      <x:c r="K127" s="16" t="str">
        <x:v>IMG-S-006</x:v>
      </x:c>
      <x:c r="L127" s="16" t="str"/>
      <x:c r="M127" s="16" t="str">
        <x:v>صالحة للتوثيق التاريخي بعد ربطها بإصدار وتاريخ</x:v>
      </x:c>
      <x:c r="N127" s="16" t="str">
        <x:v>chapters/chapter-03/index.html#section-3-8؛ chapters/chapter-04/index.html#section-4-3؛ evidence/index.html#cross-sections</x:v>
      </x:c>
      <x:c r="O127" s="16" t="str">
        <x:v>assets/images/img-s-006.jpeg</x:v>
      </x:c>
      <x:c r="P127" s="16" t="str">
        <x:v>لقطة تظهر مكعبًا وقطعًا أفقيًا ومحطة النتيجة؛ شاشة المعلومات تعلن Square.</x:v>
      </x:c>
      <x:c r="Q127" s="16" t="str">
        <x:v>توثّق الحالة المرئية للواجهة فقط؛ لا تثبت التشغيل المستقل أو التزامن الصوتي أو صحة جميع نتائج القطع. تاريخ الالتقاط وإصدار التطبيق يحتاجان إلى تثبيت مستقل.</x:v>
      </x:c>
      <x:c r="R127" s="40" t="str">
        <x:v>d187d417a3a88dc52451e5efe2b70c0acadba74cb2aff57040aa17a530fd71db</x:v>
      </x:c>
    </x:row>
    <x:row r="128" ht="36" hidden="0" customHeight="1">
      <x:c r="A128" s="21" t="str">
        <x:v>IMG-S-007</x:v>
      </x:c>
      <x:c r="B128" s="13" t="str">
        <x:v>مقاطع المجسمات: حالة البداية</x:v>
      </x:c>
      <x:c r="C128" s="13" t="str">
        <x:v>لقطة واجهة من التطبيق</x:v>
      </x:c>
      <x:c r="D128" s="13" t="str">
        <x:v>images_5.zip</x:v>
      </x:c>
      <x:c r="E128" s="13" t="str">
        <x:v>images_5/23.jpeg</x:v>
      </x:c>
      <x:c r="F128" s="13" t="str">
        <x:v>images_5/23.jpeg</x:v>
      </x:c>
      <x:c r="G128" s="27" t="n">
        <x:v>1707</x:v>
      </x:c>
      <x:c r="H128" s="27" t="n">
        <x:v>960</x:v>
      </x:c>
      <x:c r="I128" s="27" t="n">
        <x:v>130751</x:v>
      </x:c>
      <x:c r="J128" s="13" t="str">
        <x:v>JPEG</x:v>
      </x:c>
      <x:c r="K128" s="13" t="str">
        <x:v>IMG-S-007</x:v>
      </x:c>
      <x:c r="L128" s="13" t="str"/>
      <x:c r="M128" s="13" t="str">
        <x:v>صالحة للتوثيق التاريخي بعد ربطها بإصدار وتاريخ</x:v>
      </x:c>
      <x:c r="N128" s="13" t="str">
        <x:v>chapters/chapter-03/index.html#section-3-8؛ chapters/chapter-04/index.html#section-4-3؛ evidence/index.html#cross-sections</x:v>
      </x:c>
      <x:c r="O128" s="13" t="str">
        <x:v>assets/images/img-s-007.jpeg</x:v>
      </x:c>
      <x:c r="P128" s="13" t="str">
        <x:v>واجهة مختبر المقاطع قبل اختيار مجسم أو مستوى؛ Solid=None وPlane=None وResult=Not yet determined.</x:v>
      </x:c>
      <x:c r="Q128" s="13" t="str">
        <x:v>توثّق الحالة المرئية للواجهة فقط؛ لا تثبت التشغيل المستقل أو التزامن الصوتي أو صحة جميع نتائج القطع. تاريخ الالتقاط وإصدار التطبيق يحتاجان إلى تثبيت مستقل.</x:v>
      </x:c>
      <x:c r="R128" s="39" t="str">
        <x:v>654b1544ec26a4dd3d68e5fda763c55fb077d9466e67b0867ef18c77d10c6964</x:v>
      </x:c>
    </x:row>
    <x:row r="129" ht="36" hidden="0" customHeight="1">
      <x:c r="A129" s="22" t="str">
        <x:v>IMG-S-008</x:v>
      </x:c>
      <x:c r="B129" s="16" t="str">
        <x:v>مركز تعلم المقاطع: واجهة اختيار موضوع</x:v>
      </x:c>
      <x:c r="C129" s="16" t="str">
        <x:v>لقطة واجهة من التطبيق</x:v>
      </x:c>
      <x:c r="D129" s="16" t="str">
        <x:v>images_5.zip</x:v>
      </x:c>
      <x:c r="E129" s="16" t="str">
        <x:v>images_5/24.jpeg</x:v>
      </x:c>
      <x:c r="F129" s="16" t="str">
        <x:v>images_5/24.jpeg</x:v>
      </x:c>
      <x:c r="G129" s="28" t="n">
        <x:v>1707</x:v>
      </x:c>
      <x:c r="H129" s="28" t="n">
        <x:v>960</x:v>
      </x:c>
      <x:c r="I129" s="28" t="n">
        <x:v>94068</x:v>
      </x:c>
      <x:c r="J129" s="16" t="str">
        <x:v>JPEG</x:v>
      </x:c>
      <x:c r="K129" s="16" t="str">
        <x:v>IMG-S-008</x:v>
      </x:c>
      <x:c r="L129" s="16" t="str"/>
      <x:c r="M129" s="16" t="str">
        <x:v>صالحة للتوثيق التاريخي بعد ربطها بإصدار وتاريخ</x:v>
      </x:c>
      <x:c r="N129" s="16" t="str">
        <x:v>chapters/chapter-03/index.html#section-3-8؛ chapters/chapter-04/index.html#section-4-3؛ evidence/index.html#cross-sections</x:v>
      </x:c>
      <x:c r="O129" s="16" t="str">
        <x:v>assets/images/img-s-008.jpeg</x:v>
      </x:c>
      <x:c r="P129" s="16" t="str">
        <x:v>لوحة مركز التعلم بأزرار Definition وProperties وHow it works وVisual explanation والصوت والتحدي والعودة للتجربة؛ يظهر تراكب/تكرار النص على الشاشة.</x:v>
      </x:c>
      <x:c r="Q129" s="16" t="str">
        <x:v>توثّق الحالة المرئية للواجهة فقط؛ لا تثبت التشغيل المستقل أو التزامن الصوتي أو صحة جميع نتائج القطع. تاريخ الالتقاط وإصدار التطبيق يحتاجان إلى تثبيت مستقل.</x:v>
      </x:c>
      <x:c r="R129" s="40" t="str">
        <x:v>c8dc2186a9aa4b6e2eaaf83d7c14db6f4a9842d82f2723b1d2104abec3027d60</x:v>
      </x:c>
    </x:row>
    <x:row r="130" ht="36" hidden="0" customHeight="1">
      <x:c r="A130" s="21" t="str">
        <x:v>IMG-S-009</x:v>
      </x:c>
      <x:c r="B130" s="13" t="str">
        <x:v>مركز تعلم المقاطع: واجهة اختيار موضوع</x:v>
      </x:c>
      <x:c r="C130" s="13" t="str">
        <x:v>لقطة واجهة من التطبيق</x:v>
      </x:c>
      <x:c r="D130" s="13" t="str">
        <x:v>images_5.zip</x:v>
      </x:c>
      <x:c r="E130" s="13" t="str">
        <x:v>images_5/25.jpeg</x:v>
      </x:c>
      <x:c r="F130" s="13" t="str">
        <x:v>images_5/25.jpeg</x:v>
      </x:c>
      <x:c r="G130" s="27" t="n">
        <x:v>1707</x:v>
      </x:c>
      <x:c r="H130" s="27" t="n">
        <x:v>960</x:v>
      </x:c>
      <x:c r="I130" s="27" t="n">
        <x:v>94283</x:v>
      </x:c>
      <x:c r="J130" s="13" t="str">
        <x:v>JPEG</x:v>
      </x:c>
      <x:c r="K130" s="13" t="str">
        <x:v>IMG-S-009</x:v>
      </x:c>
      <x:c r="L130" s="13" t="str"/>
      <x:c r="M130" s="13" t="str">
        <x:v>صالحة للتوثيق التاريخي بعد ربطها بإصدار وتاريخ</x:v>
      </x:c>
      <x:c r="N130" s="13" t="str">
        <x:v>chapters/chapter-03/index.html#section-3-8؛ chapters/chapter-04/index.html#section-4-3؛ evidence/index.html#cross-sections</x:v>
      </x:c>
      <x:c r="O130" s="13" t="str">
        <x:v>assets/images/img-s-009.jpeg</x:v>
      </x:c>
      <x:c r="P130" s="13" t="str">
        <x:v>لقطة أخرى لمركز التعلم قبل اختيار الموضوع؛ يظهر تراكب/تكرار النص على الشاشة.</x:v>
      </x:c>
      <x:c r="Q130" s="13" t="str">
        <x:v>توثّق الحالة المرئية للواجهة فقط؛ لا تثبت التشغيل المستقل أو التزامن الصوتي أو صحة جميع نتائج القطع. تاريخ الالتقاط وإصدار التطبيق يحتاجان إلى تثبيت مستقل.</x:v>
      </x:c>
      <x:c r="R130" s="39" t="str">
        <x:v>64c468084a046625f819488c873c7bebf4b9d53d23c312bb238b822c70dc633c</x:v>
      </x:c>
    </x:row>
    <x:row r="131" ht="36" hidden="0" customHeight="1">
      <x:c r="A131" s="22" t="str">
        <x:v>IMG-S-010</x:v>
      </x:c>
      <x:c r="B131" s="16" t="str">
        <x:v>مقاطع الأسطوانة: مستوى مائل ونتيجة قطع ناقص</x:v>
      </x:c>
      <x:c r="C131" s="16" t="str">
        <x:v>لقطة واجهة من التطبيق</x:v>
      </x:c>
      <x:c r="D131" s="16" t="str">
        <x:v>images_5.zip</x:v>
      </x:c>
      <x:c r="E131" s="16" t="str">
        <x:v>images_5/3.jpeg</x:v>
      </x:c>
      <x:c r="F131" s="16" t="str">
        <x:v>images_5/3.jpeg</x:v>
      </x:c>
      <x:c r="G131" s="28" t="n">
        <x:v>1707</x:v>
      </x:c>
      <x:c r="H131" s="28" t="n">
        <x:v>960</x:v>
      </x:c>
      <x:c r="I131" s="28" t="n">
        <x:v>134904</x:v>
      </x:c>
      <x:c r="J131" s="16" t="str">
        <x:v>JPEG</x:v>
      </x:c>
      <x:c r="K131" s="16" t="str">
        <x:v>IMG-S-010</x:v>
      </x:c>
      <x:c r="L131" s="16" t="str"/>
      <x:c r="M131" s="16" t="str">
        <x:v>صالحة للتوثيق التاريخي بعد ربطها بإصدار وتاريخ</x:v>
      </x:c>
      <x:c r="N131" s="16" t="str">
        <x:v>chapters/chapter-03/index.html#section-3-8؛ chapters/chapter-04/index.html#section-4-3؛ evidence/index.html#cross-sections</x:v>
      </x:c>
      <x:c r="O131" s="16" t="str">
        <x:v>assets/images/img-s-010.jpeg</x:v>
      </x:c>
      <x:c r="P131" s="16" t="str">
        <x:v>واجهة مختبر المقاطع تظهر اختيار الأسطوانة والمستوى المائل ونتيجة Ellipse.</x:v>
      </x:c>
      <x:c r="Q131" s="16" t="str">
        <x:v>توثّق الحالة المرئية للواجهة فقط؛ لا تثبت التشغيل المستقل أو التزامن الصوتي أو صحة جميع نتائج القطع. تاريخ الالتقاط وإصدار التطبيق يحتاجان إلى تثبيت مستقل.</x:v>
      </x:c>
      <x:c r="R131" s="40" t="str">
        <x:v>b8936b2ffeb95bcfaf8f76693c38216d89bcd939ef4095eb86c2e118179e7258</x:v>
      </x:c>
    </x:row>
    <x:row r="132" ht="36" hidden="0" customHeight="1">
      <x:c r="A132" s="21" t="str">
        <x:v>IMG-S-011</x:v>
      </x:c>
      <x:c r="B132" s="13" t="str">
        <x:v>مقاطع الأسطوانة: مستوى رأسي ونتيجة مستطيل</x:v>
      </x:c>
      <x:c r="C132" s="13" t="str">
        <x:v>لقطة واجهة من التطبيق</x:v>
      </x:c>
      <x:c r="D132" s="13" t="str">
        <x:v>images_5.zip</x:v>
      </x:c>
      <x:c r="E132" s="13" t="str">
        <x:v>images_5/4.jpeg</x:v>
      </x:c>
      <x:c r="F132" s="13" t="str">
        <x:v>images_5/4.jpeg</x:v>
      </x:c>
      <x:c r="G132" s="27" t="n">
        <x:v>1707</x:v>
      </x:c>
      <x:c r="H132" s="27" t="n">
        <x:v>960</x:v>
      </x:c>
      <x:c r="I132" s="27" t="n">
        <x:v>135193</x:v>
      </x:c>
      <x:c r="J132" s="13" t="str">
        <x:v>JPEG</x:v>
      </x:c>
      <x:c r="K132" s="13" t="str">
        <x:v>IMG-S-011</x:v>
      </x:c>
      <x:c r="L132" s="13" t="str"/>
      <x:c r="M132" s="13" t="str">
        <x:v>صالحة للتوثيق التاريخي بعد ربطها بإصدار وتاريخ</x:v>
      </x:c>
      <x:c r="N132" s="13" t="str">
        <x:v>chapters/chapter-03/index.html#section-3-8؛ chapters/chapter-04/index.html#section-4-3؛ evidence/index.html#cross-sections</x:v>
      </x:c>
      <x:c r="O132" s="13" t="str">
        <x:v>assets/images/img-s-011.jpeg</x:v>
      </x:c>
      <x:c r="P132" s="13" t="str">
        <x:v>واجهة مختبر المقاطع تظهر اختيار الأسطوانة والمستوى الرأسي ونتيجة Rectangle.</x:v>
      </x:c>
      <x:c r="Q132" s="13" t="str">
        <x:v>توثّق الحالة المرئية للواجهة فقط؛ لا تثبت التشغيل المستقل أو التزامن الصوتي أو صحة جميع نتائج القطع. تاريخ الالتقاط وإصدار التطبيق يحتاجان إلى تثبيت مستقل.</x:v>
      </x:c>
      <x:c r="R132" s="39" t="str">
        <x:v>7ae40f079101a8fc3d85c912322a368d84c347652b81374e70065313c8452c21</x:v>
      </x:c>
    </x:row>
    <x:row r="133" ht="36" hidden="0" customHeight="1">
      <x:c r="A133" s="22" t="str">
        <x:v>IMG-S-012</x:v>
      </x:c>
      <x:c r="B133" s="16" t="str">
        <x:v>مقاطع الأسطوانة: مستوى رأسي ونتيجة مستطيل</x:v>
      </x:c>
      <x:c r="C133" s="16" t="str">
        <x:v>لقطة واجهة من التطبيق</x:v>
      </x:c>
      <x:c r="D133" s="16" t="str">
        <x:v>images_5.zip</x:v>
      </x:c>
      <x:c r="E133" s="16" t="str">
        <x:v>images_5/5.jpeg</x:v>
      </x:c>
      <x:c r="F133" s="16" t="str">
        <x:v>images_5/5.jpeg</x:v>
      </x:c>
      <x:c r="G133" s="28" t="n">
        <x:v>1707</x:v>
      </x:c>
      <x:c r="H133" s="28" t="n">
        <x:v>960</x:v>
      </x:c>
      <x:c r="I133" s="28" t="n">
        <x:v>135193</x:v>
      </x:c>
      <x:c r="J133" s="16" t="str">
        <x:v>JPEG</x:v>
      </x:c>
      <x:c r="K133" s="16" t="str">
        <x:v>IMG-S-011</x:v>
      </x:c>
      <x:c r="L133" s="16" t="str">
        <x:v>IMG-S-011</x:v>
      </x:c>
      <x:c r="M133" s="16" t="str">
        <x:v>صالحة للتوثيق التاريخي بعد ربطها بإصدار وتاريخ</x:v>
      </x:c>
      <x:c r="N133" s="16" t="str">
        <x:v>chapters/chapter-03/index.html#section-3-8؛ chapters/chapter-04/index.html#section-4-3؛ evidence/index.html#cross-sections</x:v>
      </x:c>
      <x:c r="O133" s="16" t="str">
        <x:v>assets/images/img-s-011.jpeg</x:v>
      </x:c>
      <x:c r="P133" s="16" t="str">
        <x:v>واجهة مختبر المقاطع تظهر اختيار الأسطوانة والمستوى الرأسي ونتيجة Rectangle.</x:v>
      </x:c>
      <x:c r="Q133" s="16" t="str">
        <x:v>توثّق الحالة المرئية للواجهة فقط؛ لا تثبت التشغيل المستقل أو التزامن الصوتي أو صحة جميع نتائج القطع. تاريخ الالتقاط وإصدار التطبيق يحتاجان إلى تثبيت مستقل.</x:v>
      </x:c>
      <x:c r="R133" s="40" t="str">
        <x:v>7ae40f079101a8fc3d85c912322a368d84c347652b81374e70065313c8452c21</x:v>
      </x:c>
    </x:row>
    <x:row r="134" ht="36" hidden="0" customHeight="1">
      <x:c r="A134" s="21" t="str">
        <x:v>IMG-S-013</x:v>
      </x:c>
      <x:c r="B134" s="13" t="str">
        <x:v>مقاطع الأسطوانة: مستوى أفقي ونتيجة دائرة</x:v>
      </x:c>
      <x:c r="C134" s="13" t="str">
        <x:v>لقطة واجهة من التطبيق</x:v>
      </x:c>
      <x:c r="D134" s="13" t="str">
        <x:v>images_5.zip</x:v>
      </x:c>
      <x:c r="E134" s="13" t="str">
        <x:v>images_5/6.jpeg</x:v>
      </x:c>
      <x:c r="F134" s="13" t="str">
        <x:v>images_5/6.jpeg</x:v>
      </x:c>
      <x:c r="G134" s="27" t="n">
        <x:v>1707</x:v>
      </x:c>
      <x:c r="H134" s="27" t="n">
        <x:v>960</x:v>
      </x:c>
      <x:c r="I134" s="27" t="n">
        <x:v>135226</x:v>
      </x:c>
      <x:c r="J134" s="13" t="str">
        <x:v>JPEG</x:v>
      </x:c>
      <x:c r="K134" s="13" t="str">
        <x:v>IMG-S-013</x:v>
      </x:c>
      <x:c r="L134" s="13" t="str"/>
      <x:c r="M134" s="13" t="str">
        <x:v>صالحة للتوثيق التاريخي بعد ربطها بإصدار وتاريخ</x:v>
      </x:c>
      <x:c r="N134" s="13" t="str">
        <x:v>chapters/chapter-03/index.html#section-3-8؛ chapters/chapter-04/index.html#section-4-3؛ evidence/index.html#cross-sections</x:v>
      </x:c>
      <x:c r="O134" s="13" t="str">
        <x:v>assets/images/img-s-013.jpeg</x:v>
      </x:c>
      <x:c r="P134" s="13" t="str">
        <x:v>واجهة مختبر المقاطع تظهر اختيار الأسطوانة والمستوى الأفقي ونتيجة Circle.</x:v>
      </x:c>
      <x:c r="Q134" s="13" t="str">
        <x:v>توثّق الحالة المرئية للواجهة فقط؛ لا تثبت التشغيل المستقل أو التزامن الصوتي أو صحة جميع نتائج القطع. تاريخ الالتقاط وإصدار التطبيق يحتاجان إلى تثبيت مستقل.</x:v>
      </x:c>
      <x:c r="R134" s="39" t="str">
        <x:v>170be75238184652333ae179e8c0763a5dbe3f21ea71bd2e47dc40561d1f5aaf</x:v>
      </x:c>
    </x:row>
    <x:row r="135" ht="36" hidden="0" customHeight="1">
      <x:c r="A135" s="22" t="str">
        <x:v>IMG-S-014</x:v>
      </x:c>
      <x:c r="B135" s="16" t="str">
        <x:v>مقاطع المكعب: مستوى مائل ونتيجة مستطيل</x:v>
      </x:c>
      <x:c r="C135" s="16" t="str">
        <x:v>لقطة واجهة من التطبيق</x:v>
      </x:c>
      <x:c r="D135" s="16" t="str">
        <x:v>images_5.zip</x:v>
      </x:c>
      <x:c r="E135" s="16" t="str">
        <x:v>images_5/7.jpeg</x:v>
      </x:c>
      <x:c r="F135" s="16" t="str">
        <x:v>images_5/7.jpeg</x:v>
      </x:c>
      <x:c r="G135" s="28" t="n">
        <x:v>1707</x:v>
      </x:c>
      <x:c r="H135" s="28" t="n">
        <x:v>960</x:v>
      </x:c>
      <x:c r="I135" s="28" t="n">
        <x:v>135024</x:v>
      </x:c>
      <x:c r="J135" s="16" t="str">
        <x:v>JPEG</x:v>
      </x:c>
      <x:c r="K135" s="16" t="str">
        <x:v>IMG-S-014</x:v>
      </x:c>
      <x:c r="L135" s="16" t="str"/>
      <x:c r="M135" s="16" t="str">
        <x:v>صالحة للتوثيق التاريخي بعد ربطها بإصدار وتاريخ</x:v>
      </x:c>
      <x:c r="N135" s="16" t="str">
        <x:v>chapters/chapter-03/index.html#section-3-8؛ chapters/chapter-04/index.html#section-4-3؛ evidence/index.html#cross-sections</x:v>
      </x:c>
      <x:c r="O135" s="16" t="str">
        <x:v>assets/images/img-s-014.jpeg</x:v>
      </x:c>
      <x:c r="P135" s="16" t="str">
        <x:v>واجهة مختبر المقاطع تظهر اختيار المكعب والمستوى المائل ونتيجة Rectangle للحالة المصممة في التطبيق.</x:v>
      </x:c>
      <x:c r="Q135" s="16" t="str">
        <x:v>توثّق الحالة المرئية للواجهة فقط؛ لا تثبت التشغيل المستقل أو التزامن الصوتي أو صحة جميع نتائج القطع. تاريخ الالتقاط وإصدار التطبيق يحتاجان إلى تثبيت مستقل.</x:v>
      </x:c>
      <x:c r="R135" s="40" t="str">
        <x:v>d580c6c91a6ce166595500e81f0bbcb6b8b76d56b24587422670a772686e0c42</x:v>
      </x:c>
    </x:row>
    <x:row r="136" ht="36" hidden="0" customHeight="1">
      <x:c r="A136" s="21" t="str">
        <x:v>IMG-S-015</x:v>
      </x:c>
      <x:c r="B136" s="13" t="str">
        <x:v>مقاطع المكعب: مستوى رأسي ونتيجة مربع</x:v>
      </x:c>
      <x:c r="C136" s="13" t="str">
        <x:v>لقطة واجهة من التطبيق</x:v>
      </x:c>
      <x:c r="D136" s="13" t="str">
        <x:v>images_5.zip</x:v>
      </x:c>
      <x:c r="E136" s="13" t="str">
        <x:v>images_5/8.jpeg</x:v>
      </x:c>
      <x:c r="F136" s="13" t="str">
        <x:v>images_5/8.jpeg</x:v>
      </x:c>
      <x:c r="G136" s="27" t="n">
        <x:v>1707</x:v>
      </x:c>
      <x:c r="H136" s="27" t="n">
        <x:v>960</x:v>
      </x:c>
      <x:c r="I136" s="27" t="n">
        <x:v>134923</x:v>
      </x:c>
      <x:c r="J136" s="13" t="str">
        <x:v>JPEG</x:v>
      </x:c>
      <x:c r="K136" s="13" t="str">
        <x:v>IMG-S-015</x:v>
      </x:c>
      <x:c r="L136" s="13" t="str"/>
      <x:c r="M136" s="13" t="str">
        <x:v>صالحة للتوثيق التاريخي بعد ربطها بإصدار وتاريخ</x:v>
      </x:c>
      <x:c r="N136" s="13" t="str">
        <x:v>chapters/chapter-03/index.html#section-3-8؛ chapters/chapter-04/index.html#section-4-3؛ evidence/index.html#cross-sections</x:v>
      </x:c>
      <x:c r="O136" s="13" t="str">
        <x:v>assets/images/img-s-015.jpeg</x:v>
      </x:c>
      <x:c r="P136" s="13" t="str">
        <x:v>واجهة مختبر المقاطع تظهر اختيار المكعب والمستوى الرأسي ونتيجة Square.</x:v>
      </x:c>
      <x:c r="Q136" s="13" t="str">
        <x:v>توثّق الحالة المرئية للواجهة فقط؛ لا تثبت التشغيل المستقل أو التزامن الصوتي أو صحة جميع نتائج القطع. تاريخ الالتقاط وإصدار التطبيق يحتاجان إلى تثبيت مستقل.</x:v>
      </x:c>
      <x:c r="R136" s="39" t="str">
        <x:v>df842cbad613c7cc8d7ea5c121c2c3bf95f9283ed709de2ba74fd3ddc9f7a272</x:v>
      </x:c>
    </x:row>
    <x:row r="137" ht="36" hidden="0" customHeight="1">
      <x:c r="A137" s="22" t="str">
        <x:v>IMG-S-016</x:v>
      </x:c>
      <x:c r="B137" s="16" t="str">
        <x:v>مقاطع المكعب: مستوى أفقي ونتيجة مربع</x:v>
      </x:c>
      <x:c r="C137" s="16" t="str">
        <x:v>لقطة واجهة من التطبيق</x:v>
      </x:c>
      <x:c r="D137" s="16" t="str">
        <x:v>images_5.zip</x:v>
      </x:c>
      <x:c r="E137" s="16" t="str">
        <x:v>images_5/9.jpeg</x:v>
      </x:c>
      <x:c r="F137" s="16" t="str">
        <x:v>images_5/9.jpeg</x:v>
      </x:c>
      <x:c r="G137" s="28" t="n">
        <x:v>1707</x:v>
      </x:c>
      <x:c r="H137" s="28" t="n">
        <x:v>960</x:v>
      </x:c>
      <x:c r="I137" s="28" t="n">
        <x:v>135739</x:v>
      </x:c>
      <x:c r="J137" s="16" t="str">
        <x:v>JPEG</x:v>
      </x:c>
      <x:c r="K137" s="16" t="str">
        <x:v>IMG-S-016</x:v>
      </x:c>
      <x:c r="L137" s="16" t="str"/>
      <x:c r="M137" s="16" t="str">
        <x:v>صالحة للتوثيق التاريخي بعد ربطها بإصدار وتاريخ</x:v>
      </x:c>
      <x:c r="N137" s="16" t="str">
        <x:v>chapters/chapter-03/index.html#section-3-8؛ chapters/chapter-04/index.html#section-4-3؛ evidence/index.html#cross-sections</x:v>
      </x:c>
      <x:c r="O137" s="16" t="str">
        <x:v>assets/images/img-s-016.jpeg</x:v>
      </x:c>
      <x:c r="P137" s="16" t="str">
        <x:v>واجهة مختبر المقاطع تظهر اختيار المكعب والمستوى الأفقي ونتيجة Square.</x:v>
      </x:c>
      <x:c r="Q137" s="16" t="str">
        <x:v>توثّق الحالة المرئية للواجهة فقط؛ لا تثبت التشغيل المستقل أو التزامن الصوتي أو صحة جميع نتائج القطع. تاريخ الالتقاط وإصدار التطبيق يحتاجان إلى تثبيت مستقل.</x:v>
      </x:c>
      <x:c r="R137" s="40" t="str">
        <x:v>f740161c1107fbd2ad0ca41eedcd306d23654831de45ccd1e75ae21aa7f8ecfc</x:v>
      </x:c>
    </x:row>
    <x:row r="138" ht="36" hidden="0" customHeight="1">
      <x:c r="A138" s="21" t="str">
        <x:v>IMG-S-017</x:v>
      </x:c>
      <x:c r="B138" s="13" t="str">
        <x:v>مقاطع الأسطوانة: مستوى أفقي ونتيجة دائرة</x:v>
      </x:c>
      <x:c r="C138" s="13" t="str">
        <x:v>لقطة واجهة من التطبيق</x:v>
      </x:c>
      <x:c r="D138" s="13" t="str">
        <x:v>images_5.zip</x:v>
      </x:c>
      <x:c r="E138" s="13" t="str">
        <x:v>images_5/image_01.jpeg</x:v>
      </x:c>
      <x:c r="F138" s="13" t="str">
        <x:v>images_5/image_01.jpeg</x:v>
      </x:c>
      <x:c r="G138" s="27" t="n">
        <x:v>1707</x:v>
      </x:c>
      <x:c r="H138" s="27" t="n">
        <x:v>960</x:v>
      </x:c>
      <x:c r="I138" s="27" t="n">
        <x:v>135226</x:v>
      </x:c>
      <x:c r="J138" s="13" t="str">
        <x:v>JPEG</x:v>
      </x:c>
      <x:c r="K138" s="13" t="str">
        <x:v>IMG-S-013</x:v>
      </x:c>
      <x:c r="L138" s="13" t="str">
        <x:v>IMG-S-013</x:v>
      </x:c>
      <x:c r="M138" s="13" t="str">
        <x:v>صالحة للتوثيق التاريخي بعد ربطها بإصدار وتاريخ</x:v>
      </x:c>
      <x:c r="N138" s="13" t="str">
        <x:v>chapters/chapter-03/index.html#section-3-8؛ chapters/chapter-04/index.html#section-4-3؛ evidence/index.html#cross-sections</x:v>
      </x:c>
      <x:c r="O138" s="13" t="str">
        <x:v>assets/images/img-s-013.jpeg</x:v>
      </x:c>
      <x:c r="P138" s="13" t="str">
        <x:v>واجهة مختبر المقاطع تظهر اختيار الأسطوانة والمستوى الأفقي ونتيجة Circle.</x:v>
      </x:c>
      <x:c r="Q138" s="13" t="str">
        <x:v>توثّق الحالة المرئية للواجهة فقط؛ لا تثبت التشغيل المستقل أو التزامن الصوتي أو صحة جميع نتائج القطع. تاريخ الالتقاط وإصدار التطبيق يحتاجان إلى تثبيت مستقل.</x:v>
      </x:c>
      <x:c r="R138" s="39" t="str">
        <x:v>170be75238184652333ae179e8c0763a5dbe3f21ea71bd2e47dc40561d1f5aaf</x:v>
      </x:c>
    </x:row>
    <x:row r="139" ht="36" hidden="0" customHeight="1">
      <x:c r="A139" s="22" t="str">
        <x:v>IMG-S-018</x:v>
      </x:c>
      <x:c r="B139" s="16" t="str">
        <x:v>مقاطع المخروط: مستوى رأسي ونتيجة مثلث</x:v>
      </x:c>
      <x:c r="C139" s="16" t="str">
        <x:v>لقطة واجهة من التطبيق</x:v>
      </x:c>
      <x:c r="D139" s="16" t="str">
        <x:v>images_5.zip</x:v>
      </x:c>
      <x:c r="E139" s="16" t="str">
        <x:v>images_5/WhatsApp Image 2026-08-21 at 09.36.31.jpeg</x:v>
      </x:c>
      <x:c r="F139" s="16" t="str">
        <x:v>images_5/WhatsApp Image 2026-08-21 at 09.36.31.jpeg</x:v>
      </x:c>
      <x:c r="G139" s="28" t="n">
        <x:v>1707</x:v>
      </x:c>
      <x:c r="H139" s="28" t="n">
        <x:v>960</x:v>
      </x:c>
      <x:c r="I139" s="28" t="n">
        <x:v>136646</x:v>
      </x:c>
      <x:c r="J139" s="16" t="str">
        <x:v>JPEG</x:v>
      </x:c>
      <x:c r="K139" s="16" t="str">
        <x:v>IMG-S-001</x:v>
      </x:c>
      <x:c r="L139" s="16" t="str">
        <x:v>IMG-S-001</x:v>
      </x:c>
      <x:c r="M139" s="16" t="str">
        <x:v>صالحة للتوثيق التاريخي بعد ربطها بإصدار وتاريخ</x:v>
      </x:c>
      <x:c r="N139" s="16" t="str">
        <x:v>chapters/chapter-03/index.html#section-3-8؛ chapters/chapter-04/index.html#section-4-3؛ evidence/index.html#cross-sections</x:v>
      </x:c>
      <x:c r="O139" s="16" t="str">
        <x:v>assets/images/img-s-001.jpeg</x:v>
      </x:c>
      <x:c r="P139" s="16" t="str">
        <x:v>لقطة مختبر المقاطع تظهر اختيار المخروط والمستوى الرأسي ونتيجة Triangle على شاشة المعلومات.</x:v>
      </x:c>
      <x:c r="Q139" s="16" t="str">
        <x:v>توثّق الحالة المرئية للواجهة فقط؛ لا تثبت التشغيل المستقل أو التزامن الصوتي أو صحة جميع نتائج القطع. تاريخ الالتقاط وإصدار التطبيق يحتاجان إلى تثبيت مستقل.</x:v>
      </x:c>
      <x:c r="R139" s="40" t="str">
        <x:v>3ef89923640d8428c9b1023f1fa9ff86256da8625e7f834e5be57a237b751152</x:v>
      </x:c>
    </x:row>
    <x:row r="140" ht="36" hidden="0" customHeight="1">
      <x:c r="A140" s="21" t="str">
        <x:v>IMG-S-019</x:v>
      </x:c>
      <x:c r="B140" s="13" t="str">
        <x:v>مقاطع المخروط: مستوى أفقي ونتيجة دائرة</x:v>
      </x:c>
      <x:c r="C140" s="13" t="str">
        <x:v>لقطة واجهة من التطبيق</x:v>
      </x:c>
      <x:c r="D140" s="13" t="str">
        <x:v>images_5.zip</x:v>
      </x:c>
      <x:c r="E140" s="13" t="str">
        <x:v>images_5/WhatsApp Image 2026-08-21 at 09.36.43.jpeg</x:v>
      </x:c>
      <x:c r="F140" s="13" t="str">
        <x:v>images_5/WhatsApp Image 2026-08-21 at 09.36.43.jpeg</x:v>
      </x:c>
      <x:c r="G140" s="27" t="n">
        <x:v>1707</x:v>
      </x:c>
      <x:c r="H140" s="27" t="n">
        <x:v>960</x:v>
      </x:c>
      <x:c r="I140" s="27" t="n">
        <x:v>133892</x:v>
      </x:c>
      <x:c r="J140" s="13" t="str">
        <x:v>JPEG</x:v>
      </x:c>
      <x:c r="K140" s="13" t="str">
        <x:v>IMG-S-003</x:v>
      </x:c>
      <x:c r="L140" s="13" t="str">
        <x:v>IMG-S-003</x:v>
      </x:c>
      <x:c r="M140" s="13" t="str">
        <x:v>صالحة للتوثيق التاريخي بعد ربطها بإصدار وتاريخ</x:v>
      </x:c>
      <x:c r="N140" s="13" t="str">
        <x:v>chapters/chapter-03/index.html#section-3-8؛ chapters/chapter-04/index.html#section-4-3؛ evidence/index.html#cross-sections</x:v>
      </x:c>
      <x:c r="O140" s="13" t="str">
        <x:v>assets/images/img-s-003.jpeg</x:v>
      </x:c>
      <x:c r="P140" s="13" t="str">
        <x:v>لقطة مختبر المقاطع تظهر اختيار المخروط والمستوى الأفقي ونتيجة Circle.</x:v>
      </x:c>
      <x:c r="Q140" s="13" t="str">
        <x:v>توثّق الحالة المرئية للواجهة فقط؛ لا تثبت التشغيل المستقل أو التزامن الصوتي أو صحة جميع نتائج القطع. تاريخ الالتقاط وإصدار التطبيق يحتاجان إلى تثبيت مستقل.</x:v>
      </x:c>
      <x:c r="R140" s="39" t="str">
        <x:v>86ded49eb6ef910312c046b4fbc126bfec2526188bc0359fba58baaecbc82f63</x:v>
      </x:c>
    </x:row>
    <x:row r="141" ht="36" hidden="0" customHeight="1">
      <x:c r="A141" s="22" t="str">
        <x:v>IMG-S-020</x:v>
      </x:c>
      <x:c r="B141" s="16" t="str">
        <x:v>مقاطع الأسطوانة: مستوى مائل ونتيجة قطع ناقص</x:v>
      </x:c>
      <x:c r="C141" s="16" t="str">
        <x:v>لقطة واجهة من التطبيق</x:v>
      </x:c>
      <x:c r="D141" s="16" t="str">
        <x:v>images_5.zip</x:v>
      </x:c>
      <x:c r="E141" s="16" t="str">
        <x:v>images_5/WhatsApp Image 2026-08-21 at 09.42.59.jpeg</x:v>
      </x:c>
      <x:c r="F141" s="16" t="str">
        <x:v>images_5/WhatsApp Image 2026-08-21 at 09.42.59.jpeg</x:v>
      </x:c>
      <x:c r="G141" s="28" t="n">
        <x:v>1707</x:v>
      </x:c>
      <x:c r="H141" s="28" t="n">
        <x:v>960</x:v>
      </x:c>
      <x:c r="I141" s="28" t="n">
        <x:v>134904</x:v>
      </x:c>
      <x:c r="J141" s="16" t="str">
        <x:v>JPEG</x:v>
      </x:c>
      <x:c r="K141" s="16" t="str">
        <x:v>IMG-S-010</x:v>
      </x:c>
      <x:c r="L141" s="16" t="str">
        <x:v>IMG-S-010</x:v>
      </x:c>
      <x:c r="M141" s="16" t="str">
        <x:v>صالحة للتوثيق التاريخي بعد ربطها بإصدار وتاريخ</x:v>
      </x:c>
      <x:c r="N141" s="16" t="str">
        <x:v>chapters/chapter-03/index.html#section-3-8؛ chapters/chapter-04/index.html#section-4-3؛ evidence/index.html#cross-sections</x:v>
      </x:c>
      <x:c r="O141" s="16" t="str">
        <x:v>assets/images/img-s-010.jpeg</x:v>
      </x:c>
      <x:c r="P141" s="16" t="str">
        <x:v>واجهة مختبر المقاطع تظهر اختيار الأسطوانة والمستوى المائل ونتيجة Ellipse.</x:v>
      </x:c>
      <x:c r="Q141" s="16" t="str">
        <x:v>توثّق الحالة المرئية للواجهة فقط؛ لا تثبت التشغيل المستقل أو التزامن الصوتي أو صحة جميع نتائج القطع. تاريخ الالتقاط وإصدار التطبيق يحتاجان إلى تثبيت مستقل.</x:v>
      </x:c>
      <x:c r="R141" s="40" t="str">
        <x:v>b8936b2ffeb95bcfaf8f76693c38216d89bcd939ef4095eb86c2e118179e7258</x:v>
      </x:c>
    </x:row>
    <x:row r="142" ht="36" hidden="0" customHeight="1">
      <x:c r="A142" s="21" t="str">
        <x:v>IMG-S-021</x:v>
      </x:c>
      <x:c r="B142" s="13" t="str">
        <x:v>مقاطع الأسطوانة: مستوى رأسي ونتيجة مستطيل</x:v>
      </x:c>
      <x:c r="C142" s="13" t="str">
        <x:v>لقطة واجهة من التطبيق</x:v>
      </x:c>
      <x:c r="D142" s="13" t="str">
        <x:v>images_5.zip</x:v>
      </x:c>
      <x:c r="E142" s="13" t="str">
        <x:v>images_5/WhatsApp Image 2026-08-21 at 09.43.21.jpeg</x:v>
      </x:c>
      <x:c r="F142" s="13" t="str">
        <x:v>images_5/WhatsApp Image 2026-08-21 at 09.43.21.jpeg</x:v>
      </x:c>
      <x:c r="G142" s="27" t="n">
        <x:v>1707</x:v>
      </x:c>
      <x:c r="H142" s="27" t="n">
        <x:v>960</x:v>
      </x:c>
      <x:c r="I142" s="27" t="n">
        <x:v>135193</x:v>
      </x:c>
      <x:c r="J142" s="13" t="str">
        <x:v>JPEG</x:v>
      </x:c>
      <x:c r="K142" s="13" t="str">
        <x:v>IMG-S-011</x:v>
      </x:c>
      <x:c r="L142" s="13" t="str">
        <x:v>IMG-S-011</x:v>
      </x:c>
      <x:c r="M142" s="13" t="str">
        <x:v>صالحة للتوثيق التاريخي بعد ربطها بإصدار وتاريخ</x:v>
      </x:c>
      <x:c r="N142" s="13" t="str">
        <x:v>chapters/chapter-03/index.html#section-3-8؛ chapters/chapter-04/index.html#section-4-3؛ evidence/index.html#cross-sections</x:v>
      </x:c>
      <x:c r="O142" s="13" t="str">
        <x:v>assets/images/img-s-011.jpeg</x:v>
      </x:c>
      <x:c r="P142" s="13" t="str">
        <x:v>واجهة مختبر المقاطع تظهر اختيار الأسطوانة والمستوى الرأسي ونتيجة Rectangle.</x:v>
      </x:c>
      <x:c r="Q142" s="13" t="str">
        <x:v>توثّق الحالة المرئية للواجهة فقط؛ لا تثبت التشغيل المستقل أو التزامن الصوتي أو صحة جميع نتائج القطع. تاريخ الالتقاط وإصدار التطبيق يحتاجان إلى تثبيت مستقل.</x:v>
      </x:c>
      <x:c r="R142" s="39" t="str">
        <x:v>7ae40f079101a8fc3d85c912322a368d84c347652b81374e70065313c8452c21</x:v>
      </x:c>
    </x:row>
    <x:row r="143" ht="36" hidden="0" customHeight="1">
      <x:c r="A143" s="22" t="str">
        <x:v>IMG-S-022</x:v>
      </x:c>
      <x:c r="B143" s="16" t="str">
        <x:v>مقاطع المكعب: مستوى مائل ونتيجة مستطيل</x:v>
      </x:c>
      <x:c r="C143" s="16" t="str">
        <x:v>لقطة واجهة من التطبيق</x:v>
      </x:c>
      <x:c r="D143" s="16" t="str">
        <x:v>images_5.zip</x:v>
      </x:c>
      <x:c r="E143" s="16" t="str">
        <x:v>images_5/WhatsApp Image 2026-08-21 at 09.43.48.jpeg</x:v>
      </x:c>
      <x:c r="F143" s="16" t="str">
        <x:v>images_5/WhatsApp Image 2026-08-21 at 09.43.48.jpeg</x:v>
      </x:c>
      <x:c r="G143" s="28" t="n">
        <x:v>1707</x:v>
      </x:c>
      <x:c r="H143" s="28" t="n">
        <x:v>960</x:v>
      </x:c>
      <x:c r="I143" s="28" t="n">
        <x:v>135024</x:v>
      </x:c>
      <x:c r="J143" s="16" t="str">
        <x:v>JPEG</x:v>
      </x:c>
      <x:c r="K143" s="16" t="str">
        <x:v>IMG-S-014</x:v>
      </x:c>
      <x:c r="L143" s="16" t="str">
        <x:v>IMG-S-014</x:v>
      </x:c>
      <x:c r="M143" s="16" t="str">
        <x:v>صالحة للتوثيق التاريخي بعد ربطها بإصدار وتاريخ</x:v>
      </x:c>
      <x:c r="N143" s="16" t="str">
        <x:v>chapters/chapter-03/index.html#section-3-8؛ chapters/chapter-04/index.html#section-4-3؛ evidence/index.html#cross-sections</x:v>
      </x:c>
      <x:c r="O143" s="16" t="str">
        <x:v>assets/images/img-s-014.jpeg</x:v>
      </x:c>
      <x:c r="P143" s="16" t="str">
        <x:v>واجهة مختبر المقاطع تظهر اختيار المكعب والمستوى المائل ونتيجة Rectangle للحالة المصممة في التطبيق.</x:v>
      </x:c>
      <x:c r="Q143" s="16" t="str">
        <x:v>توثّق الحالة المرئية للواجهة فقط؛ لا تثبت التشغيل المستقل أو التزامن الصوتي أو صحة جميع نتائج القطع. تاريخ الالتقاط وإصدار التطبيق يحتاجان إلى تثبيت مستقل.</x:v>
      </x:c>
      <x:c r="R143" s="40" t="str">
        <x:v>d580c6c91a6ce166595500e81f0bbcb6b8b76d56b24587422670a772686e0c42</x:v>
      </x:c>
    </x:row>
    <x:row r="144" ht="36" hidden="0" customHeight="1">
      <x:c r="A144" s="21" t="str">
        <x:v>IMG-S-023</x:v>
      </x:c>
      <x:c r="B144" s="13" t="str">
        <x:v>مقاطع المكعب: مستوى رأسي ونتيجة مربع</x:v>
      </x:c>
      <x:c r="C144" s="13" t="str">
        <x:v>لقطة واجهة من التطبيق</x:v>
      </x:c>
      <x:c r="D144" s="13" t="str">
        <x:v>images_5.zip</x:v>
      </x:c>
      <x:c r="E144" s="13" t="str">
        <x:v>images_5/WhatsApp Image 2026-08-21 at 09.43.58.jpeg</x:v>
      </x:c>
      <x:c r="F144" s="13" t="str">
        <x:v>images_5/WhatsApp Image 2026-08-21 at 09.43.58.jpeg</x:v>
      </x:c>
      <x:c r="G144" s="27" t="n">
        <x:v>1707</x:v>
      </x:c>
      <x:c r="H144" s="27" t="n">
        <x:v>960</x:v>
      </x:c>
      <x:c r="I144" s="27" t="n">
        <x:v>134923</x:v>
      </x:c>
      <x:c r="J144" s="13" t="str">
        <x:v>JPEG</x:v>
      </x:c>
      <x:c r="K144" s="13" t="str">
        <x:v>IMG-S-015</x:v>
      </x:c>
      <x:c r="L144" s="13" t="str">
        <x:v>IMG-S-015</x:v>
      </x:c>
      <x:c r="M144" s="13" t="str">
        <x:v>صالحة للتوثيق التاريخي بعد ربطها بإصدار وتاريخ</x:v>
      </x:c>
      <x:c r="N144" s="13" t="str">
        <x:v>chapters/chapter-03/index.html#section-3-8؛ chapters/chapter-04/index.html#section-4-3؛ evidence/index.html#cross-sections</x:v>
      </x:c>
      <x:c r="O144" s="13" t="str">
        <x:v>assets/images/img-s-015.jpeg</x:v>
      </x:c>
      <x:c r="P144" s="13" t="str">
        <x:v>واجهة مختبر المقاطع تظهر اختيار المكعب والمستوى الرأسي ونتيجة Square.</x:v>
      </x:c>
      <x:c r="Q144" s="13" t="str">
        <x:v>توثّق الحالة المرئية للواجهة فقط؛ لا تثبت التشغيل المستقل أو التزامن الصوتي أو صحة جميع نتائج القطع. تاريخ الالتقاط وإصدار التطبيق يحتاجان إلى تثبيت مستقل.</x:v>
      </x:c>
      <x:c r="R144" s="39" t="str">
        <x:v>df842cbad613c7cc8d7ea5c121c2c3bf95f9283ed709de2ba74fd3ddc9f7a272</x:v>
      </x:c>
    </x:row>
    <x:row r="145" ht="36" hidden="0" customHeight="1">
      <x:c r="A145" s="22" t="str">
        <x:v>IMG-S-024</x:v>
      </x:c>
      <x:c r="B145" s="16" t="str">
        <x:v>مقاطع المكعب: مستوى أفقي ونتيجة مربع</x:v>
      </x:c>
      <x:c r="C145" s="16" t="str">
        <x:v>لقطة واجهة من التطبيق</x:v>
      </x:c>
      <x:c r="D145" s="16" t="str">
        <x:v>images_5.zip</x:v>
      </x:c>
      <x:c r="E145" s="16" t="str">
        <x:v>images_5/WhatsApp Image 2026-08-21 at 09.44.06.jpeg</x:v>
      </x:c>
      <x:c r="F145" s="16" t="str">
        <x:v>images_5/WhatsApp Image 2026-08-21 at 09.44.06.jpeg</x:v>
      </x:c>
      <x:c r="G145" s="28" t="n">
        <x:v>1707</x:v>
      </x:c>
      <x:c r="H145" s="28" t="n">
        <x:v>960</x:v>
      </x:c>
      <x:c r="I145" s="28" t="n">
        <x:v>135739</x:v>
      </x:c>
      <x:c r="J145" s="16" t="str">
        <x:v>JPEG</x:v>
      </x:c>
      <x:c r="K145" s="16" t="str">
        <x:v>IMG-S-016</x:v>
      </x:c>
      <x:c r="L145" s="16" t="str">
        <x:v>IMG-S-016</x:v>
      </x:c>
      <x:c r="M145" s="16" t="str">
        <x:v>صالحة للتوثيق التاريخي بعد ربطها بإصدار وتاريخ</x:v>
      </x:c>
      <x:c r="N145" s="16" t="str">
        <x:v>chapters/chapter-03/index.html#section-3-8؛ chapters/chapter-04/index.html#section-4-3؛ evidence/index.html#cross-sections</x:v>
      </x:c>
      <x:c r="O145" s="16" t="str">
        <x:v>assets/images/img-s-016.jpeg</x:v>
      </x:c>
      <x:c r="P145" s="16" t="str">
        <x:v>واجهة مختبر المقاطع تظهر اختيار المكعب والمستوى الأفقي ونتيجة Square.</x:v>
      </x:c>
      <x:c r="Q145" s="16" t="str">
        <x:v>توثّق الحالة المرئية للواجهة فقط؛ لا تثبت التشغيل المستقل أو التزامن الصوتي أو صحة جميع نتائج القطع. تاريخ الالتقاط وإصدار التطبيق يحتاجان إلى تثبيت مستقل.</x:v>
      </x:c>
      <x:c r="R145" s="40" t="str">
        <x:v>f740161c1107fbd2ad0ca41eedcd306d23654831de45ccd1e75ae21aa7f8ecfc</x:v>
      </x:c>
    </x:row>
    <x:row r="146" ht="36" hidden="0" customHeight="1">
      <x:c r="A146" s="21" t="str">
        <x:v>IMG-S-025</x:v>
      </x:c>
      <x:c r="B146" s="13" t="str">
        <x:v>مقاطع المكعب: مستوى أفقي ونتيجة مربع</x:v>
      </x:c>
      <x:c r="C146" s="13" t="str">
        <x:v>لقطة واجهة من التطبيق</x:v>
      </x:c>
      <x:c r="D146" s="13" t="str">
        <x:v>images_5.zip</x:v>
      </x:c>
      <x:c r="E146" s="13" t="str">
        <x:v>images_5/WhatsApp Image 2026-08-21 at 09.44.16.jpeg</x:v>
      </x:c>
      <x:c r="F146" s="13" t="str">
        <x:v>images_5/WhatsApp Image 2026-08-21 at 09.44.16.jpeg</x:v>
      </x:c>
      <x:c r="G146" s="27" t="n">
        <x:v>1707</x:v>
      </x:c>
      <x:c r="H146" s="27" t="n">
        <x:v>960</x:v>
      </x:c>
      <x:c r="I146" s="27" t="n">
        <x:v>136300</x:v>
      </x:c>
      <x:c r="J146" s="13" t="str">
        <x:v>JPEG</x:v>
      </x:c>
      <x:c r="K146" s="13" t="str">
        <x:v>IMG-S-002</x:v>
      </x:c>
      <x:c r="L146" s="13" t="str">
        <x:v>IMG-S-002</x:v>
      </x:c>
      <x:c r="M146" s="13" t="str">
        <x:v>صالحة للتوثيق التاريخي بعد ربطها بإصدار وتاريخ</x:v>
      </x:c>
      <x:c r="N146" s="13" t="str">
        <x:v>chapters/chapter-03/index.html#section-3-8؛ chapters/chapter-04/index.html#section-4-3؛ evidence/index.html#cross-sections</x:v>
      </x:c>
      <x:c r="O146" s="13" t="str">
        <x:v>assets/images/img-s-002.jpeg</x:v>
      </x:c>
      <x:c r="P146" s="13" t="str">
        <x:v>لقطة مختبر المقاطع تظهر اختيار المكعب والمستوى الأفقي ونتيجة Square.</x:v>
      </x:c>
      <x:c r="Q146" s="13" t="str">
        <x:v>توثّق الحالة المرئية للواجهة فقط؛ لا تثبت التشغيل المستقل أو التزامن الصوتي أو صحة جميع نتائج القطع. تاريخ الالتقاط وإصدار التطبيق يحتاجان إلى تثبيت مستقل.</x:v>
      </x:c>
      <x:c r="R146" s="39" t="str">
        <x:v>8d7c04aaefdc64441c5e26fb87b975363337dd55de3b8d9499b0ff06ef8bb19d</x:v>
      </x:c>
    </x:row>
    <x:row r="147" ht="36" hidden="0" customHeight="1">
      <x:c r="A147" s="22" t="str">
        <x:v>IMG-S-026</x:v>
      </x:c>
      <x:c r="B147" s="16" t="str">
        <x:v>مقاطع المخروط: مستوى رأسي ونتيجة مثلث</x:v>
      </x:c>
      <x:c r="C147" s="16" t="str">
        <x:v>لقطة واجهة من التطبيق</x:v>
      </x:c>
      <x:c r="D147" s="16" t="str">
        <x:v>images_5.zip</x:v>
      </x:c>
      <x:c r="E147" s="16" t="str">
        <x:v>images_5/WhatsApp Image 2026-08-21 at 09.44.25.jpeg</x:v>
      </x:c>
      <x:c r="F147" s="16" t="str">
        <x:v>images_5/WhatsApp Image 2026-08-21 at 09.44.25.jpeg</x:v>
      </x:c>
      <x:c r="G147" s="28" t="n">
        <x:v>1707</x:v>
      </x:c>
      <x:c r="H147" s="28" t="n">
        <x:v>960</x:v>
      </x:c>
      <x:c r="I147" s="28" t="n">
        <x:v>135284</x:v>
      </x:c>
      <x:c r="J147" s="16" t="str">
        <x:v>JPEG</x:v>
      </x:c>
      <x:c r="K147" s="16" t="str">
        <x:v>IMG-S-026</x:v>
      </x:c>
      <x:c r="L147" s="16" t="str"/>
      <x:c r="M147" s="16" t="str">
        <x:v>صالحة للتوثيق التاريخي بعد ربطها بإصدار وتاريخ</x:v>
      </x:c>
      <x:c r="N147" s="16" t="str">
        <x:v>chapters/chapter-03/index.html#section-3-8؛ chapters/chapter-04/index.html#section-4-3؛ evidence/index.html#cross-sections</x:v>
      </x:c>
      <x:c r="O147" s="16" t="str">
        <x:v>assets/images/img-s-026.jpeg</x:v>
      </x:c>
      <x:c r="P147" s="16" t="str">
        <x:v>لقطة مختلفة لمختبر المقاطع تظهر اختيار المخروط والمستوى الرأسي ونتيجة Triangle.</x:v>
      </x:c>
      <x:c r="Q147" s="16" t="str">
        <x:v>توثّق الحالة المرئية للواجهة فقط؛ لا تثبت التشغيل المستقل أو التزامن الصوتي أو صحة جميع نتائج القطع. تاريخ الالتقاط وإصدار التطبيق يحتاجان إلى تثبيت مستقل.</x:v>
      </x:c>
      <x:c r="R147" s="40" t="str">
        <x:v>87f06259bdfd7ad67ca07e5eb0be3f24d2e4e7683b0c805230ce2825c3c8ea55</x:v>
      </x:c>
    </x:row>
    <x:row r="148" ht="36" hidden="0" customHeight="1">
      <x:c r="A148" s="21" t="str">
        <x:v>IMG-S-027</x:v>
      </x:c>
      <x:c r="B148" s="13" t="str">
        <x:v>رسم تعليمي: مقطع مخروطي رأسي</x:v>
      </x:c>
      <x:c r="C148" s="13" t="str">
        <x:v>رسم توضيحي تعليمي</x:v>
      </x:c>
      <x:c r="D148" s="13" t="str">
        <x:v>images_6.zip</x:v>
      </x:c>
      <x:c r="E148" s="13" t="str">
        <x:v>images_6/ChatGPT Image Aug 23, 2026, 08_55_28 AM (8).png</x:v>
      </x:c>
      <x:c r="F148" s="13" t="str">
        <x:v>images_6/ChatGPT Image Aug 23, 2026, 08_55_28 AM (8).png</x:v>
      </x:c>
      <x:c r="G148" s="27" t="n">
        <x:v>1672</x:v>
      </x:c>
      <x:c r="H148" s="27" t="n">
        <x:v>941</x:v>
      </x:c>
      <x:c r="I148" s="27" t="n">
        <x:v>1699658</x:v>
      </x:c>
      <x:c r="J148" s="13" t="str">
        <x:v>PNG</x:v>
      </x:c>
      <x:c r="K148" s="13" t="str">
        <x:v>IMG-S-027</x:v>
      </x:c>
      <x:c r="L148" s="13" t="str"/>
      <x:c r="M148" s="13" t="str">
        <x:v>تحتاج بيانات مصدر ومراجعة رياضية ووصفًا نصيًا</x:v>
      </x:c>
      <x:c r="N148" s="13" t="str">
        <x:v>chapters/chapter-03/index.html#section-3-9؛ evidence/index.html#cross-sections-learning-assets؛ appendices/appendix-d.html؛ appendices/appendix-e.html</x:v>
      </x:c>
      <x:c r="O148" s="13" t="str">
        <x:v>assets/images/img-s-027.png</x:v>
      </x:c>
      <x:c r="P148" s="13" t="str">
        <x:v>مخروط شفاف ومستوى رأسي يمر برأسه ومقطع مثلثي مع علامة تحقق.</x:v>
      </x:c>
      <x:c r="Q148" s="13" t="str">
        <x:v>رسم توضيحي للمحتوى، وليس لقطة تشغيل أو نتيجة اختبار. يلزم تثبيت المصدر وطريقة الإنشاء ودوره الفعلي في التطبيق ومراجعة دقة الشرح.</x:v>
      </x:c>
      <x:c r="R148" s="39" t="str">
        <x:v>ee233721a32d7db7be26868a1f058d9029dbe26a3c8ddf272dd2a603fad7adb1</x:v>
      </x:c>
    </x:row>
    <x:row r="149" ht="36" hidden="0" customHeight="1">
      <x:c r="A149" s="22" t="str">
        <x:v>IMG-S-028</x:v>
      </x:c>
      <x:c r="B149" s="16" t="str">
        <x:v>رسم تعليمي: فصل المقطع عن المكعب</x:v>
      </x:c>
      <x:c r="C149" s="16" t="str">
        <x:v>رسم توضيحي تعليمي</x:v>
      </x:c>
      <x:c r="D149" s="16" t="str">
        <x:v>images_6.zip</x:v>
      </x:c>
      <x:c r="E149" s="16" t="str">
        <x:v>images_6/ChatGPT Image Aug 23, 2026, 08_55_28 AM (9).png</x:v>
      </x:c>
      <x:c r="F149" s="16" t="str">
        <x:v>images_6/ChatGPT Image Aug 23, 2026, 08_55_28 AM (9).png</x:v>
      </x:c>
      <x:c r="G149" s="28" t="n">
        <x:v>1672</x:v>
      </x:c>
      <x:c r="H149" s="28" t="n">
        <x:v>941</x:v>
      </x:c>
      <x:c r="I149" s="28" t="n">
        <x:v>1287576</x:v>
      </x:c>
      <x:c r="J149" s="16" t="str">
        <x:v>PNG</x:v>
      </x:c>
      <x:c r="K149" s="16" t="str">
        <x:v>IMG-S-028</x:v>
      </x:c>
      <x:c r="L149" s="16" t="str"/>
      <x:c r="M149" s="16" t="str">
        <x:v>تحتاج بيانات مصدر ومراجعة رياضية ووصفًا نصيًا</x:v>
      </x:c>
      <x:c r="N149" s="16" t="str">
        <x:v>chapters/chapter-03/index.html#section-3-9؛ evidence/index.html#cross-sections-learning-assets؛ appendices/appendix-d.html؛ appendices/appendix-e.html</x:v>
      </x:c>
      <x:c r="O149" s="16" t="str">
        <x:v>assets/images/img-s-028.png</x:v>
      </x:c>
      <x:c r="P149" s="16" t="str">
        <x:v>مكعب شفاف ومستوى رأسي ومقطع مربع مع خطوط تربط المقطع بشكل منفصل.</x:v>
      </x:c>
      <x:c r="Q149" s="16" t="str">
        <x:v>رسم توضيحي للمحتوى، وليس لقطة تشغيل أو نتيجة اختبار. يلزم تثبيت المصدر وطريقة الإنشاء ودوره الفعلي في التطبيق ومراجعة دقة الشرح.</x:v>
      </x:c>
      <x:c r="R149" s="40" t="str">
        <x:v>2d1c643cc8020feb8a8255dfb97b03dc8edb4689958ca33896c39248b4f70656</x:v>
      </x:c>
    </x:row>
    <x:row r="150" ht="36" hidden="0" customHeight="1">
      <x:c r="A150" s="21" t="str">
        <x:v>IMG-S-029</x:v>
      </x:c>
      <x:c r="B150" s="13" t="str">
        <x:v>رسم تعليمي: تعريف المقطع</x:v>
      </x:c>
      <x:c r="C150" s="13" t="str">
        <x:v>رسم توضيحي تعليمي</x:v>
      </x:c>
      <x:c r="D150" s="13" t="str">
        <x:v>images_6.zip</x:v>
      </x:c>
      <x:c r="E150" s="13" t="str">
        <x:v>images_6/CS_IMG_01_Definition.png</x:v>
      </x:c>
      <x:c r="F150" s="13" t="str">
        <x:v>images_6/CS_IMG_01_Definition.png</x:v>
      </x:c>
      <x:c r="G150" s="27" t="n">
        <x:v>1672</x:v>
      </x:c>
      <x:c r="H150" s="27" t="n">
        <x:v>941</x:v>
      </x:c>
      <x:c r="I150" s="27" t="n">
        <x:v>1373499</x:v>
      </x:c>
      <x:c r="J150" s="13" t="str">
        <x:v>PNG</x:v>
      </x:c>
      <x:c r="K150" s="13" t="str">
        <x:v>IMG-S-029</x:v>
      </x:c>
      <x:c r="L150" s="13" t="str"/>
      <x:c r="M150" s="13" t="str">
        <x:v>تحتاج بيانات مصدر ومراجعة رياضية ووصفًا نصيًا</x:v>
      </x:c>
      <x:c r="N150" s="13" t="str">
        <x:v>chapters/chapter-03/index.html#section-3-9؛ evidence/index.html#cross-sections-learning-assets؛ appendices/appendix-d.html؛ appendices/appendix-e.html</x:v>
      </x:c>
      <x:c r="O150" s="13" t="str">
        <x:v>assets/images/img-s-029.png</x:v>
      </x:c>
      <x:c r="P150" s="13" t="str">
        <x:v>مكعب شفاف يتقاطع مع مستوى رأسي؛ سهم ينقل المقطع الأصفر إلى شكل منفصل.</x:v>
      </x:c>
      <x:c r="Q150" s="13" t="str">
        <x:v>رسم توضيحي للمحتوى، وليس لقطة تشغيل أو نتيجة اختبار. يلزم تثبيت المصدر وطريقة الإنشاء ودوره الفعلي في التطبيق ومراجعة دقة الشرح.</x:v>
      </x:c>
      <x:c r="R150" s="39" t="str">
        <x:v>c39aa006b02e697cfb9cd1b6d30786e800227871b72e12b7155845e4523030dd</x:v>
      </x:c>
    </x:row>
    <x:row r="151" ht="36" hidden="0" customHeight="1">
      <x:c r="A151" s="22" t="str">
        <x:v>IMG-S-030</x:v>
      </x:c>
      <x:c r="B151" s="16" t="str">
        <x:v>رسم تعليمي: تغيير مستوى قطع الأسطوانة</x:v>
      </x:c>
      <x:c r="C151" s="16" t="str">
        <x:v>رسم توضيحي تعليمي</x:v>
      </x:c>
      <x:c r="D151" s="16" t="str">
        <x:v>images_6.zip</x:v>
      </x:c>
      <x:c r="E151" s="16" t="str">
        <x:v>images_6/CS_IMG_02_Properties.png</x:v>
      </x:c>
      <x:c r="F151" s="16" t="str">
        <x:v>images_6/CS_IMG_02_Properties.png</x:v>
      </x:c>
      <x:c r="G151" s="28" t="n">
        <x:v>1672</x:v>
      </x:c>
      <x:c r="H151" s="28" t="n">
        <x:v>941</x:v>
      </x:c>
      <x:c r="I151" s="28" t="n">
        <x:v>1433455</x:v>
      </x:c>
      <x:c r="J151" s="16" t="str">
        <x:v>PNG</x:v>
      </x:c>
      <x:c r="K151" s="16" t="str">
        <x:v>IMG-S-030</x:v>
      </x:c>
      <x:c r="L151" s="16" t="str"/>
      <x:c r="M151" s="16" t="str">
        <x:v>تحتاج بيانات مصدر ومراجعة رياضية ووصفًا نصيًا</x:v>
      </x:c>
      <x:c r="N151" s="16" t="str">
        <x:v>chapters/chapter-03/index.html#section-3-9؛ evidence/index.html#cross-sections-learning-assets؛ appendices/appendix-d.html؛ appendices/appendix-e.html</x:v>
      </x:c>
      <x:c r="O151" s="16" t="str">
        <x:v>assets/images/img-s-030.png</x:v>
      </x:c>
      <x:c r="P151" s="16" t="str">
        <x:v>ثلاث أسطوانات تظهر مستويات أفقية ورأسية ومائلة، مع المقاطع المصورة أسفلها.</x:v>
      </x:c>
      <x:c r="Q151" s="16" t="str">
        <x:v>رسم توضيحي للمحتوى، وليس لقطة تشغيل أو نتيجة اختبار. يلزم تثبيت المصدر وطريقة الإنشاء ودوره الفعلي في التطبيق ومراجعة دقة الشرح.</x:v>
      </x:c>
      <x:c r="R151" s="40" t="str">
        <x:v>b746e5e21f4fe5c9ed488b8127b827c966a016610689554daa60dc363a7bfc1e</x:v>
      </x:c>
    </x:row>
    <x:row r="152" ht="36" hidden="0" customHeight="1">
      <x:c r="A152" s="21" t="str">
        <x:v>IMG-S-031</x:v>
      </x:c>
      <x:c r="B152" s="13" t="str">
        <x:v>رسم تعليمي: تسلسل التجربة</x:v>
      </x:c>
      <x:c r="C152" s="13" t="str">
        <x:v>رسم توضيحي تعليمي</x:v>
      </x:c>
      <x:c r="D152" s="13" t="str">
        <x:v>images_6.zip</x:v>
      </x:c>
      <x:c r="E152" s="13" t="str">
        <x:v>images_6/CS_IMG_04_VisualExplanation.png</x:v>
      </x:c>
      <x:c r="F152" s="13" t="str">
        <x:v>images_6/CS_IMG_04_VisualExplanation.png</x:v>
      </x:c>
      <x:c r="G152" s="27" t="n">
        <x:v>1672</x:v>
      </x:c>
      <x:c r="H152" s="27" t="n">
        <x:v>941</x:v>
      </x:c>
      <x:c r="I152" s="27" t="n">
        <x:v>1355624</x:v>
      </x:c>
      <x:c r="J152" s="13" t="str">
        <x:v>PNG</x:v>
      </x:c>
      <x:c r="K152" s="13" t="str">
        <x:v>IMG-S-031</x:v>
      </x:c>
      <x:c r="L152" s="13" t="str"/>
      <x:c r="M152" s="13" t="str">
        <x:v>تحتاج بيانات مصدر ومراجعة رياضية ووصفًا نصيًا</x:v>
      </x:c>
      <x:c r="N152" s="13" t="str">
        <x:v>chapters/chapter-03/index.html#section-3-9؛ evidence/index.html#cross-sections-learning-assets؛ appendices/appendix-d.html؛ appendices/appendix-e.html</x:v>
      </x:c>
      <x:c r="O152" s="13" t="str">
        <x:v>assets/images/img-s-031.png</x:v>
      </x:c>
      <x:c r="P152" s="13" t="str">
        <x:v>مجسمات متاحة ← مستوى قطع ← تطبيق القطع على مكعب ← مقطع ثنائي الأبعاد.</x:v>
      </x:c>
      <x:c r="Q152" s="13" t="str">
        <x:v>رسم توضيحي للمحتوى، وليس لقطة تشغيل أو نتيجة اختبار. يلزم تثبيت المصدر وطريقة الإنشاء ودوره الفعلي في التطبيق ومراجعة دقة الشرح.</x:v>
      </x:c>
      <x:c r="R152" s="39" t="str">
        <x:v>a3df2d90fa2b76927b00b450b1ee7fbe27b0a87b723e3e18a86bc66f24f9bb0f</x:v>
      </x:c>
    </x:row>
    <x:row r="153" ht="36" hidden="0" customHeight="1">
      <x:c r="A153" s="22" t="str">
        <x:v>IMG-S-032</x:v>
      </x:c>
      <x:c r="B153" s="16" t="str">
        <x:v>رسم تعليمي: مقارنة 3D و2D مع تسميات</x:v>
      </x:c>
      <x:c r="C153" s="16" t="str">
        <x:v>رسم توضيحي تعليمي</x:v>
      </x:c>
      <x:c r="D153" s="16" t="str">
        <x:v>images_6.zip</x:v>
      </x:c>
      <x:c r="E153" s="16" t="str">
        <x:v>images_6/CS_IMG_05_Comparison1.png</x:v>
      </x:c>
      <x:c r="F153" s="16" t="str">
        <x:v>images_6/CS_IMG_05_Comparison1.png</x:v>
      </x:c>
      <x:c r="G153" s="28" t="n">
        <x:v>1672</x:v>
      </x:c>
      <x:c r="H153" s="28" t="n">
        <x:v>941</x:v>
      </x:c>
      <x:c r="I153" s="28" t="n">
        <x:v>1601282</x:v>
      </x:c>
      <x:c r="J153" s="16" t="str">
        <x:v>PNG</x:v>
      </x:c>
      <x:c r="K153" s="16" t="str">
        <x:v>IMG-S-032</x:v>
      </x:c>
      <x:c r="L153" s="16" t="str"/>
      <x:c r="M153" s="16" t="str">
        <x:v>تحتاج بيانات مصدر ومراجعة رياضية ووصفًا نصيًا</x:v>
      </x:c>
      <x:c r="N153" s="16" t="str">
        <x:v>chapters/chapter-03/index.html#section-3-9؛ evidence/index.html#cross-sections-learning-assets؛ appendices/appendix-d.html؛ appendices/appendix-e.html</x:v>
      </x:c>
      <x:c r="O153" s="16" t="str">
        <x:v>assets/images/img-s-032.png</x:v>
      </x:c>
      <x:c r="P153" s="16" t="str">
        <x:v>مكعب ومستوى رأسي ومقطع مربع وشكل منفصل؛ تتضمن الصورة تسميات إنجليزية.</x:v>
      </x:c>
      <x:c r="Q153" s="16" t="str">
        <x:v>رسم توضيحي للمحتوى، وليس لقطة تشغيل أو نتيجة اختبار. يلزم تثبيت المصدر وطريقة الإنشاء ودوره الفعلي في التطبيق ومراجعة دقة الشرح.</x:v>
      </x:c>
      <x:c r="R153" s="40" t="str">
        <x:v>455cea5b18e8780703c1841c6fa80c98195e5f075221e1893a6717351e937c5b</x:v>
      </x:c>
    </x:row>
    <x:row r="154" ht="36" hidden="0" customHeight="1">
      <x:c r="A154" s="21" t="str">
        <x:v>IMG-S-033</x:v>
      </x:c>
      <x:c r="B154" s="13" t="str">
        <x:v>رسم تعليمي: مقارنة المجسم والمقطع</x:v>
      </x:c>
      <x:c r="C154" s="13" t="str">
        <x:v>رسم توضيحي تعليمي</x:v>
      </x:c>
      <x:c r="D154" s="13" t="str">
        <x:v>images_6.zip</x:v>
      </x:c>
      <x:c r="E154" s="13" t="str">
        <x:v>images_6/CS_IMG_05_Comparison11.png</x:v>
      </x:c>
      <x:c r="F154" s="13" t="str">
        <x:v>images_6/CS_IMG_05_Comparison11.png</x:v>
      </x:c>
      <x:c r="G154" s="27" t="n">
        <x:v>1672</x:v>
      </x:c>
      <x:c r="H154" s="27" t="n">
        <x:v>941</x:v>
      </x:c>
      <x:c r="I154" s="27" t="n">
        <x:v>1446497</x:v>
      </x:c>
      <x:c r="J154" s="13" t="str">
        <x:v>PNG</x:v>
      </x:c>
      <x:c r="K154" s="13" t="str">
        <x:v>IMG-S-033</x:v>
      </x:c>
      <x:c r="L154" s="13" t="str"/>
      <x:c r="M154" s="13" t="str">
        <x:v>تحتاج بيانات مصدر ومراجعة رياضية ووصفًا نصيًا</x:v>
      </x:c>
      <x:c r="N154" s="13" t="str">
        <x:v>chapters/chapter-03/index.html#section-3-9؛ evidence/index.html#cross-sections-learning-assets؛ appendices/appendix-d.html؛ appendices/appendix-e.html</x:v>
      </x:c>
      <x:c r="O154" s="13" t="str">
        <x:v>assets/images/img-s-033.png</x:v>
      </x:c>
      <x:c r="P154" s="13" t="str">
        <x:v>مكعب شفاف ومستوى رأسي ومقطع أصفر وخطوط متقطعة تصل إلى الشكل المنفصل.</x:v>
      </x:c>
      <x:c r="Q154" s="13" t="str">
        <x:v>رسم توضيحي للمحتوى، وليس لقطة تشغيل أو نتيجة اختبار. يلزم تثبيت المصدر وطريقة الإنشاء ودوره الفعلي في التطبيق ومراجعة دقة الشرح.</x:v>
      </x:c>
      <x:c r="R154" s="39" t="str">
        <x:v>adeca65b7119a8acb8a1dd74c565e71c46466780843bcbc18bc4c9d2fc877bce</x:v>
      </x:c>
    </x:row>
    <x:row r="155" ht="36" hidden="0" customHeight="1">
      <x:c r="A155" s="22" t="str">
        <x:v>IMG-S-034</x:v>
      </x:c>
      <x:c r="B155" s="16" t="str">
        <x:v>رسم تعليمي: مطابقة مقاطع الأسطوانة</x:v>
      </x:c>
      <x:c r="C155" s="16" t="str">
        <x:v>رسم توضيحي تعليمي</x:v>
      </x:c>
      <x:c r="D155" s="16" t="str">
        <x:v>images_6.zip</x:v>
      </x:c>
      <x:c r="E155" s="16" t="str">
        <x:v>images_6/CS_IMG_06_Challenge.png</x:v>
      </x:c>
      <x:c r="F155" s="16" t="str">
        <x:v>images_6/CS_IMG_06_Challenge.png</x:v>
      </x:c>
      <x:c r="G155" s="28" t="n">
        <x:v>1672</x:v>
      </x:c>
      <x:c r="H155" s="28" t="n">
        <x:v>941</x:v>
      </x:c>
      <x:c r="I155" s="28" t="n">
        <x:v>1219846</x:v>
      </x:c>
      <x:c r="J155" s="16" t="str">
        <x:v>PNG</x:v>
      </x:c>
      <x:c r="K155" s="16" t="str">
        <x:v>IMG-S-034</x:v>
      </x:c>
      <x:c r="L155" s="16" t="str"/>
      <x:c r="M155" s="16" t="str">
        <x:v>تحتاج بيانات مصدر ومراجعة رياضية ووصفًا نصيًا</x:v>
      </x:c>
      <x:c r="N155" s="16" t="str">
        <x:v>chapters/chapter-03/index.html#section-3-9؛ evidence/index.html#cross-sections-learning-assets؛ appendices/appendix-d.html؛ appendices/appendix-e.html</x:v>
      </x:c>
      <x:c r="O155" s="16" t="str">
        <x:v>assets/images/img-s-034.png</x:v>
      </x:c>
      <x:c r="P155" s="16" t="str">
        <x:v>ثلاث أسطوانات بمستويات أفقية ورأسية ومائلة تُربط بدائرة ومستطيل وقطع ناقص.</x:v>
      </x:c>
      <x:c r="Q155" s="16" t="str">
        <x:v>رسم توضيحي للمحتوى، وليس لقطة تشغيل أو نتيجة اختبار. يلزم تثبيت المصدر وطريقة الإنشاء ودوره الفعلي في التطبيق ومراجعة دقة الشرح.</x:v>
      </x:c>
      <x:c r="R155" s="40" t="str">
        <x:v>416d00d2614ca2ee571106299862a2b6005ccc868ddb6346d8735baed82afe23</x:v>
      </x:c>
    </x:row>
    <x:row r="156" ht="36" hidden="0" customHeight="1">
      <x:c r="A156" s="21" t="str">
        <x:v>IMG-S-035</x:v>
      </x:c>
      <x:c r="B156" s="13" t="str">
        <x:v>رسم تعليمي: بدء تحدي المقاطع</x:v>
      </x:c>
      <x:c r="C156" s="13" t="str">
        <x:v>رسم توضيحي تعليمي</x:v>
      </x:c>
      <x:c r="D156" s="13" t="str">
        <x:v>images_6.zip</x:v>
      </x:c>
      <x:c r="E156" s="13" t="str">
        <x:v>images_6/CS_IMG_06_ChallengeStart.png</x:v>
      </x:c>
      <x:c r="F156" s="13" t="str">
        <x:v>images_6/CS_IMG_06_ChallengeStart.png</x:v>
      </x:c>
      <x:c r="G156" s="27" t="n">
        <x:v>1672</x:v>
      </x:c>
      <x:c r="H156" s="27" t="n">
        <x:v>941</x:v>
      </x:c>
      <x:c r="I156" s="27" t="n">
        <x:v>1362321</x:v>
      </x:c>
      <x:c r="J156" s="13" t="str">
        <x:v>PNG</x:v>
      </x:c>
      <x:c r="K156" s="13" t="str">
        <x:v>IMG-S-035</x:v>
      </x:c>
      <x:c r="L156" s="13" t="str"/>
      <x:c r="M156" s="13" t="str">
        <x:v>تحتاج بيانات مصدر ومراجعة رياضية ووصفًا نصيًا</x:v>
      </x:c>
      <x:c r="N156" s="13" t="str">
        <x:v>chapters/chapter-03/index.html#section-3-9؛ evidence/index.html#cross-sections-learning-assets؛ appendices/appendix-d.html؛ appendices/appendix-e.html</x:v>
      </x:c>
      <x:c r="O156" s="13" t="str">
        <x:v>assets/images/img-s-035.png</x:v>
      </x:c>
      <x:c r="P156" s="13" t="str">
        <x:v>مكعب وأسطوانة ومخروط ومستوى قطع عام في الوسط وشكل مربع ودائرة ومثلث وقطع ناقص يمينًا؛ لا يُحدد اتجاه المستوى لكل نتيجة.</x:v>
      </x:c>
      <x:c r="Q156" s="13" t="str">
        <x:v>رسم توضيحي للمحتوى، وليس لقطة تشغيل أو نتيجة اختبار. يلزم تثبيت المصدر وطريقة الإنشاء ودوره الفعلي في التطبيق ومراجعة دقة الشرح.</x:v>
      </x:c>
      <x:c r="R156" s="39" t="str">
        <x:v>7bae64451aebfe412ea2f6e41e0c8c2943ddaa23756b3a61816a8afb2661f4a9</x:v>
      </x:c>
    </x:row>
    <x:row r="157" ht="36" hidden="0" customHeight="1">
      <x:c r="A157" s="22" t="str">
        <x:v>IMG-S-036</x:v>
      </x:c>
      <x:c r="B157" s="16" t="str">
        <x:v>رسم تعليمي: نجاح تحدي المقاطع</x:v>
      </x:c>
      <x:c r="C157" s="16" t="str">
        <x:v>رسم توضيحي تعليمي</x:v>
      </x:c>
      <x:c r="D157" s="16" t="str">
        <x:v>images_6.zip</x:v>
      </x:c>
      <x:c r="E157" s="16" t="str">
        <x:v>images_6/CS_IMG_07_ChallengeSuccess.png</x:v>
      </x:c>
      <x:c r="F157" s="16" t="str">
        <x:v>images_6/CS_IMG_07_ChallengeSuccess.png</x:v>
      </x:c>
      <x:c r="G157" s="28" t="n">
        <x:v>1672</x:v>
      </x:c>
      <x:c r="H157" s="28" t="n">
        <x:v>941</x:v>
      </x:c>
      <x:c r="I157" s="28" t="n">
        <x:v>1464764</x:v>
      </x:c>
      <x:c r="J157" s="16" t="str">
        <x:v>PNG</x:v>
      </x:c>
      <x:c r="K157" s="16" t="str">
        <x:v>IMG-S-036</x:v>
      </x:c>
      <x:c r="L157" s="16" t="str"/>
      <x:c r="M157" s="16" t="str">
        <x:v>تحتاج بيانات مصدر ومراجعة رياضية ووصفًا نصيًا</x:v>
      </x:c>
      <x:c r="N157" s="16" t="str">
        <x:v>chapters/chapter-03/index.html#section-3-9؛ evidence/index.html#cross-sections-learning-assets؛ appendices/appendix-d.html؛ appendices/appendix-e.html</x:v>
      </x:c>
      <x:c r="O157" s="16" t="str">
        <x:v>assets/images/img-s-036.png</x:v>
      </x:c>
      <x:c r="P157" s="16" t="str">
        <x:v>مجسمات ومستوى قطع وأشكال ناتجة متنوعة وعلامة تحقق؛ العلاقات ليست أمثلة هندسية مفصلة.</x:v>
      </x:c>
      <x:c r="Q157" s="16" t="str">
        <x:v>رسم توضيحي للمحتوى، وليس لقطة تشغيل أو نتيجة اختبار. يلزم تثبيت المصدر وطريقة الإنشاء ودوره الفعلي في التطبيق ومراجعة دقة الشرح.</x:v>
      </x:c>
      <x:c r="R157" s="40" t="str">
        <x:v>9d91f16184a7f7056109922143f41c2ee6626d0e8869ef6e718b683b6b9a0035</x:v>
      </x:c>
    </x:row>
    <x:row r="158" ht="36" hidden="0" customHeight="1">
      <x:c r="A158" s="21" t="str">
        <x:v>IMG-S-037</x:v>
      </x:c>
      <x:c r="B158" s="13" t="str">
        <x:v>رسم تعليمي: مقارنة القطع الأفقي والمائل للأسطوانة</x:v>
      </x:c>
      <x:c r="C158" s="13" t="str">
        <x:v>رسم توضيحي تعليمي</x:v>
      </x:c>
      <x:c r="D158" s="13" t="str">
        <x:v>images_6.zip</x:v>
      </x:c>
      <x:c r="E158" s="13" t="str">
        <x:v>images_6/CS_IMG_07_ChallengeSuccess_5.png</x:v>
      </x:c>
      <x:c r="F158" s="13" t="str">
        <x:v>images_6/CS_IMG_07_ChallengeSuccess_5.png</x:v>
      </x:c>
      <x:c r="G158" s="27" t="n">
        <x:v>1672</x:v>
      </x:c>
      <x:c r="H158" s="27" t="n">
        <x:v>941</x:v>
      </x:c>
      <x:c r="I158" s="27" t="n">
        <x:v>1449928</x:v>
      </x:c>
      <x:c r="J158" s="13" t="str">
        <x:v>PNG</x:v>
      </x:c>
      <x:c r="K158" s="13" t="str">
        <x:v>IMG-S-037</x:v>
      </x:c>
      <x:c r="L158" s="13" t="str"/>
      <x:c r="M158" s="13" t="str">
        <x:v>تحتاج بيانات مصدر ومراجعة رياضية ووصفًا نصيًا</x:v>
      </x:c>
      <x:c r="N158" s="13" t="str">
        <x:v>chapters/chapter-03/index.html#section-3-9؛ evidence/index.html#cross-sections-learning-assets؛ appendices/appendix-d.html؛ appendices/appendix-e.html</x:v>
      </x:c>
      <x:c r="O158" s="13" t="str">
        <x:v>assets/images/img-s-037.png</x:v>
      </x:c>
      <x:c r="P158" s="13" t="str">
        <x:v>أسطوانة بمستوى أفقي ومقطع دائرة وأسـطوانة بمستوى مائل ومقطع قطع ناقص مع سهمي مقارنة.</x:v>
      </x:c>
      <x:c r="Q158" s="13" t="str">
        <x:v>رسم توضيحي للمحتوى، وليس لقطة تشغيل أو نتيجة اختبار. يلزم تثبيت المصدر وطريقة الإنشاء ودوره الفعلي في التطبيق ومراجعة دقة الشرح.</x:v>
      </x:c>
      <x:c r="R158" s="39" t="str">
        <x:v>e1ea90350aae349616d8021bc70cca8e46d5166128161d5ac7f1ad123246701d</x:v>
      </x:c>
    </x:row>
    <x:row r="159" ht="36" hidden="0" customHeight="1">
      <x:c r="A159" s="22" t="str">
        <x:v>IMG-S-038</x:v>
      </x:c>
      <x:c r="B159" s="16" t="str">
        <x:v>رسم تعليمي: تسلسل التجربة</x:v>
      </x:c>
      <x:c r="C159" s="16" t="str">
        <x:v>رسم توضيحي تعليمي</x:v>
      </x:c>
      <x:c r="D159" s="16" t="str">
        <x:v>images_6.zip</x:v>
      </x:c>
      <x:c r="E159" s="16" t="str">
        <x:v>images_6/CS_IMG_08_Learning_HowItWorks.png</x:v>
      </x:c>
      <x:c r="F159" s="16" t="str">
        <x:v>images_6/CS_IMG_08_Learning_HowItWorks.png</x:v>
      </x:c>
      <x:c r="G159" s="28" t="n">
        <x:v>1672</x:v>
      </x:c>
      <x:c r="H159" s="28" t="n">
        <x:v>941</x:v>
      </x:c>
      <x:c r="I159" s="28" t="n">
        <x:v>1355624</x:v>
      </x:c>
      <x:c r="J159" s="16" t="str">
        <x:v>PNG</x:v>
      </x:c>
      <x:c r="K159" s="16" t="str">
        <x:v>IMG-S-031</x:v>
      </x:c>
      <x:c r="L159" s="16" t="str">
        <x:v>IMG-S-031</x:v>
      </x:c>
      <x:c r="M159" s="16" t="str">
        <x:v>تحتاج بيانات مصدر ومراجعة رياضية ووصفًا نصيًا</x:v>
      </x:c>
      <x:c r="N159" s="16" t="str">
        <x:v>chapters/chapter-03/index.html#section-3-9؛ evidence/index.html#cross-sections-learning-assets؛ appendices/appendix-d.html؛ appendices/appendix-e.html</x:v>
      </x:c>
      <x:c r="O159" s="16" t="str">
        <x:v>assets/images/img-s-031.png</x:v>
      </x:c>
      <x:c r="P159" s="16" t="str">
        <x:v>مجسمات متاحة ← مستوى قطع ← تطبيق القطع على مكعب ← مقطع ثنائي الأبعاد.</x:v>
      </x:c>
      <x:c r="Q159" s="16" t="str">
        <x:v>رسم توضيحي للمحتوى، وليس لقطة تشغيل أو نتيجة اختبار. يلزم تثبيت المصدر وطريقة الإنشاء ودوره الفعلي في التطبيق ومراجعة دقة الشرح.</x:v>
      </x:c>
      <x:c r="R159" s="40" t="str">
        <x:v>a3df2d90fa2b76927b00b450b1ee7fbe27b0a87b723e3e18a86bc66f24f9bb0f</x:v>
      </x:c>
    </x:row>
    <x:row r="160" ht="36" hidden="0" customHeight="1">
      <x:c r="A160" s="21" t="str">
        <x:v>IMG-S-039</x:v>
      </x:c>
      <x:c r="B160" s="13" t="str">
        <x:v>ظهور التطبيق في واجهة Meta: الخصوصية</x:v>
      </x:c>
      <x:c r="C160" s="13" t="str">
        <x:v>لقطة نشر/إتاحة من واجهة Meta</x:v>
      </x:c>
      <x:c r="D160" s="13" t="str">
        <x:v>images_7.zip</x:v>
      </x:c>
      <x:c r="E160" s="13" t="str">
        <x:v>images_7/1.jpeg</x:v>
      </x:c>
      <x:c r="F160" s="13" t="str">
        <x:v>images_7/1.jpeg</x:v>
      </x:c>
      <x:c r="G160" s="27" t="n">
        <x:v>1707</x:v>
      </x:c>
      <x:c r="H160" s="27" t="n">
        <x:v>960</x:v>
      </x:c>
      <x:c r="I160" s="27" t="n">
        <x:v>88991</x:v>
      </x:c>
      <x:c r="J160" s="13" t="str">
        <x:v>JPEG</x:v>
      </x:c>
      <x:c r="K160" s="13" t="str">
        <x:v>IMG-S-039</x:v>
      </x:c>
      <x:c r="L160" s="13" t="str"/>
      <x:c r="M160" s="13" t="str">
        <x:v>دليل تاريخي؛ يلزم صورة حديثة ورابط منشور لتوثيق الوضع الحالي</x:v>
      </x:c>
      <x:c r="N160" s="13" t="str">
        <x:v>releases/index.html؛ appendices/appendix-i.html؛ evidence/index.html#distribution</x:v>
      </x:c>
      <x:c r="O160" s="13" t="str">
        <x:v>assets/images/img-s-039.jpeg</x:v>
      </x:c>
      <x:c r="P160" s="13" t="str">
        <x:v>واجهة متجر Meta داخل النظارة تظهر Geometry VR Lab وسياسات الخصوصية وزر Start.</x:v>
      </x:c>
      <x:c r="Q160" s="13" t="str">
        <x:v>توثّق ما يظهر في واجهة النظارة للمستخدم عند الالتقاط؛ لا تثبت الإتاحة العامة للجميع أو الموافقة على النسخة المدمجة الجديدة. تاريخ 19 أغسطس هو تاريخ الإصدار الظاهر وليس تاريخ التقاط الصورة.</x:v>
      </x:c>
      <x:c r="R160" s="39" t="str">
        <x:v>3a7d3be85d3f087a7dec399bd121d5a4adcaabf6eee90c1c20ccddb8237f1cee</x:v>
      </x:c>
    </x:row>
    <x:row r="161" ht="36" hidden="0" customHeight="1">
      <x:c r="A161" s="22" t="str">
        <x:v>IMG-S-040</x:v>
      </x:c>
      <x:c r="B161" s="16" t="str">
        <x:v>ظهور التطبيق في واجهة Meta: معلومات الإصدار</x:v>
      </x:c>
      <x:c r="C161" s="16" t="str">
        <x:v>لقطة نشر/إتاحة من واجهة Meta</x:v>
      </x:c>
      <x:c r="D161" s="16" t="str">
        <x:v>images_7.zip</x:v>
      </x:c>
      <x:c r="E161" s="16" t="str">
        <x:v>images_7/2.jpeg</x:v>
      </x:c>
      <x:c r="F161" s="16" t="str">
        <x:v>images_7/2.jpeg</x:v>
      </x:c>
      <x:c r="G161" s="28" t="n">
        <x:v>1707</x:v>
      </x:c>
      <x:c r="H161" s="28" t="n">
        <x:v>960</x:v>
      </x:c>
      <x:c r="I161" s="28" t="n">
        <x:v>93941</x:v>
      </x:c>
      <x:c r="J161" s="16" t="str">
        <x:v>JPEG</x:v>
      </x:c>
      <x:c r="K161" s="16" t="str">
        <x:v>IMG-S-040</x:v>
      </x:c>
      <x:c r="L161" s="16" t="str"/>
      <x:c r="M161" s="16" t="str">
        <x:v>دليل تاريخي؛ يلزم صورة حديثة ورابط منشور لتوثيق الوضع الحالي</x:v>
      </x:c>
      <x:c r="N161" s="16" t="str">
        <x:v>releases/index.html؛ appendices/appendix-i.html؛ evidence/index.html#distribution</x:v>
      </x:c>
      <x:c r="O161" s="16" t="str">
        <x:v>assets/images/img-s-040.jpeg</x:v>
      </x:c>
      <x:c r="P161" s="16" t="str">
        <x:v>واجهة Meta داخل النظارة تظهر Version 1.2.4 (ALPHA)، وتاريخ Release date: August 19, 2026؛ حجم تثبيت 414.8 MB وتنزيل 279.5 MB؛ Internet not required.</x:v>
      </x:c>
      <x:c r="Q161" s="16" t="str">
        <x:v>توثّق ما يظهر في واجهة النظارة للمستخدم عند الالتقاط؛ لا تثبت الإتاحة العامة للجميع أو الموافقة على النسخة المدمجة الجديدة. تاريخ 19 أغسطس هو تاريخ الإصدار الظاهر وليس تاريخ التقاط الصورة.</x:v>
      </x:c>
      <x:c r="R161" s="40" t="str">
        <x:v>0e7c22d9e7e00bbae70913e54fbae56e008f483a660a68394346db9708635287</x:v>
      </x:c>
    </x:row>
    <x:row r="162" ht="36" hidden="0" customHeight="1">
      <x:c r="A162" s="21" t="str">
        <x:v>IMG-S-041</x:v>
      </x:c>
      <x:c r="B162" s="13" t="str">
        <x:v>ظهور التطبيق في واجهة Meta: معلومات الإصدار</x:v>
      </x:c>
      <x:c r="C162" s="13" t="str">
        <x:v>لقطة نشر/إتاحة من واجهة Meta</x:v>
      </x:c>
      <x:c r="D162" s="13" t="str">
        <x:v>images_7.zip</x:v>
      </x:c>
      <x:c r="E162" s="13" t="str">
        <x:v>images_7/3.jpeg</x:v>
      </x:c>
      <x:c r="F162" s="13" t="str">
        <x:v>images_7/3.jpeg</x:v>
      </x:c>
      <x:c r="G162" s="27" t="n">
        <x:v>1707</x:v>
      </x:c>
      <x:c r="H162" s="27" t="n">
        <x:v>960</x:v>
      </x:c>
      <x:c r="I162" s="27" t="n">
        <x:v>93941</x:v>
      </x:c>
      <x:c r="J162" s="13" t="str">
        <x:v>JPEG</x:v>
      </x:c>
      <x:c r="K162" s="13" t="str">
        <x:v>IMG-S-040</x:v>
      </x:c>
      <x:c r="L162" s="13" t="str">
        <x:v>IMG-S-040</x:v>
      </x:c>
      <x:c r="M162" s="13" t="str">
        <x:v>دليل تاريخي؛ يلزم صورة حديثة ورابط منشور لتوثيق الوضع الحالي</x:v>
      </x:c>
      <x:c r="N162" s="13" t="str">
        <x:v>releases/index.html؛ appendices/appendix-i.html؛ evidence/index.html#distribution</x:v>
      </x:c>
      <x:c r="O162" s="13" t="str">
        <x:v>assets/images/img-s-040.jpeg</x:v>
      </x:c>
      <x:c r="P162" s="13" t="str">
        <x:v>واجهة Meta داخل النظارة تظهر Version 1.2.4 (ALPHA)، وتاريخ Release date: August 19, 2026؛ حجم تثبيت 414.8 MB وتنزيل 279.5 MB؛ Internet not required.</x:v>
      </x:c>
      <x:c r="Q162" s="13" t="str">
        <x:v>توثّق ما يظهر في واجهة النظارة للمستخدم عند الالتقاط؛ لا تثبت الإتاحة العامة للجميع أو الموافقة على النسخة المدمجة الجديدة. تاريخ 19 أغسطس هو تاريخ الإصدار الظاهر وليس تاريخ التقاط الصورة.</x:v>
      </x:c>
      <x:c r="R162" s="39" t="str">
        <x:v>0e7c22d9e7e00bbae70913e54fbae56e008f483a660a68394346db9708635287</x:v>
      </x:c>
    </x:row>
    <x:row r="163" ht="36" hidden="0" customHeight="1">
      <x:c r="A163" s="22" t="str">
        <x:v>IMG-S-042</x:v>
      </x:c>
      <x:c r="B163" s="16" t="str">
        <x:v>ظهور التطبيق في واجهة Meta: الوصف والمنصات</x:v>
      </x:c>
      <x:c r="C163" s="16" t="str">
        <x:v>لقطة نشر/إتاحة من واجهة Meta</x:v>
      </x:c>
      <x:c r="D163" s="16" t="str">
        <x:v>images_7.zip</x:v>
      </x:c>
      <x:c r="E163" s="16" t="str">
        <x:v>images_7/4.jpeg</x:v>
      </x:c>
      <x:c r="F163" s="16" t="str">
        <x:v>images_7/4.jpeg</x:v>
      </x:c>
      <x:c r="G163" s="28" t="n">
        <x:v>1707</x:v>
      </x:c>
      <x:c r="H163" s="28" t="n">
        <x:v>960</x:v>
      </x:c>
      <x:c r="I163" s="28" t="n">
        <x:v>99411</x:v>
      </x:c>
      <x:c r="J163" s="16" t="str">
        <x:v>JPEG</x:v>
      </x:c>
      <x:c r="K163" s="16" t="str">
        <x:v>IMG-S-042</x:v>
      </x:c>
      <x:c r="L163" s="16" t="str"/>
      <x:c r="M163" s="16" t="str">
        <x:v>دليل تاريخي؛ يلزم صورة حديثة ورابط منشور لتوثيق الوضع الحالي</x:v>
      </x:c>
      <x:c r="N163" s="16" t="str">
        <x:v>releases/index.html؛ appendices/appendix-i.html؛ evidence/index.html#distribution</x:v>
      </x:c>
      <x:c r="O163" s="16" t="str">
        <x:v>assets/images/img-s-042.jpeg</x:v>
      </x:c>
      <x:c r="P163" s="16" t="str">
        <x:v>واجهة Meta تظهر وصف التطبيق والمطور ibrahimieh والناشر Ibrahimieh College وTouch Controllers وStanding والمنصتين Meta Quest 3S وMeta Quest 3.</x:v>
      </x:c>
      <x:c r="Q163" s="16" t="str">
        <x:v>توثّق ما يظهر في واجهة النظارة للمستخدم عند الالتقاط؛ لا تثبت الإتاحة العامة للجميع أو الموافقة على النسخة المدمجة الجديدة. تاريخ 19 أغسطس هو تاريخ الإصدار الظاهر وليس تاريخ التقاط الصورة.</x:v>
      </x:c>
      <x:c r="R163" s="40" t="str">
        <x:v>a1614a4cd70d8924bb353c76e23d773d7e10193e81c56b67c792a28e1e45a941</x:v>
      </x:c>
    </x:row>
    <x:row r="164" ht="36" hidden="0" customHeight="1">
      <x:c r="A164" s="21" t="str">
        <x:v>IMG-S-043</x:v>
      </x:c>
      <x:c r="B164" s="13" t="str">
        <x:v>ظهور التطبيق في واجهة Meta: صفحة العرض</x:v>
      </x:c>
      <x:c r="C164" s="13" t="str">
        <x:v>لقطة نشر/إتاحة من واجهة Meta</x:v>
      </x:c>
      <x:c r="D164" s="13" t="str">
        <x:v>images_7.zip</x:v>
      </x:c>
      <x:c r="E164" s="13" t="str">
        <x:v>images_7/5.jpeg</x:v>
      </x:c>
      <x:c r="F164" s="13" t="str">
        <x:v>images_7/5.jpeg</x:v>
      </x:c>
      <x:c r="G164" s="27" t="n">
        <x:v>1707</x:v>
      </x:c>
      <x:c r="H164" s="27" t="n">
        <x:v>960</x:v>
      </x:c>
      <x:c r="I164" s="27" t="n">
        <x:v>102263</x:v>
      </x:c>
      <x:c r="J164" s="13" t="str">
        <x:v>JPEG</x:v>
      </x:c>
      <x:c r="K164" s="13" t="str">
        <x:v>IMG-S-043</x:v>
      </x:c>
      <x:c r="L164" s="13" t="str"/>
      <x:c r="M164" s="13" t="str">
        <x:v>دليل تاريخي؛ يلزم صورة حديثة ورابط منشور لتوثيق الوضع الحالي</x:v>
      </x:c>
      <x:c r="N164" s="13" t="str">
        <x:v>releases/index.html؛ appendices/appendix-i.html؛ evidence/index.html#distribution</x:v>
      </x:c>
      <x:c r="O164" s="13" t="str">
        <x:v>assets/images/img-s-043.jpeg</x:v>
      </x:c>
      <x:c r="P164" s="13" t="str">
        <x:v>واجهة Meta تظهر بطاقة Geometry VR Lab، وزر Start، وتصنيف PEGI 3، وصور المعرض.</x:v>
      </x:c>
      <x:c r="Q164" s="13" t="str">
        <x:v>توثّق ما يظهر في واجهة النظارة للمستخدم عند الالتقاط؛ لا تثبت الإتاحة العامة للجميع أو الموافقة على النسخة المدمجة الجديدة. تاريخ 19 أغسطس هو تاريخ الإصدار الظاهر وليس تاريخ التقاط الصورة.</x:v>
      </x:c>
      <x:c r="R164" s="39" t="str">
        <x:v>d6b2225fa383813cea38c6d60a6c0c5e25b72295bd2e80fd034a11de34704d6c</x:v>
      </x:c>
    </x:row>
    <x:row r="165" ht="36" hidden="0" customHeight="1">
      <x:c r="A165" s="22" t="str">
        <x:v>IMG-D-001</x:v>
      </x:c>
      <x:c r="B165" s="16" t="str">
        <x:v>ملف APK في مجلد البناء</x:v>
      </x:c>
      <x:c r="C165" s="16" t="str">
        <x:v>دليل بصري مضمّن في البحث</x:v>
      </x:c>
      <x:c r="D165" s="16" t="str">
        <x:v>بحث_تطوير_بيئة_الواقع_الافتراضي_للهندسة_الفراغية_2026_محدث_بالإرشاد_الصوتي (1).docx</x:v>
      </x:c>
      <x:c r="E165" s="16" t="str">
        <x:v>word/media/image1.png</x:v>
      </x:c>
      <x:c r="F165" s="16" t="str">
        <x:v>P0421</x:v>
      </x:c>
      <x:c r="G165" s="28" t="n">
        <x:v>1991</x:v>
      </x:c>
      <x:c r="H165" s="28" t="n">
        <x:v>1040</x:v>
      </x:c>
      <x:c r="I165" s="28" t="n">
        <x:v>120623</x:v>
      </x:c>
      <x:c r="J165" s="16" t="str">
        <x:v>PNG</x:v>
      </x:c>
      <x:c r="K165" s="16" t="str">
        <x:v>IMG-D-001</x:v>
      </x:c>
      <x:c r="L165" s="16" t="str"/>
      <x:c r="M165" s="16" t="str">
        <x:v>حفظ النسخة التاريخية؛ اقتصاص بيانات النظام والجهاز غير اللازمة عند العرض</x:v>
      </x:c>
      <x:c r="N165" s="16" t="str">
        <x:v>appendices/appendix-i/index.html#figure-i-01</x:v>
      </x:c>
      <x:c r="O165" s="16" t="str">
        <x:v>assets/images/img-d-001.png</x:v>
      </x:c>
      <x:c r="P165" s="16" t="str">
        <x:v>ملف APK في مجلد البناء</x:v>
      </x:c>
      <x:c r="Q165" s="16" t="str">
        <x:v>تعرض الصورة الحالة المرئية فقط؛ الإصدار والتاريخ لا يثبتان من وجودها.</x:v>
      </x:c>
      <x:c r="R165" s="40" t="str">
        <x:v>bd4c088ed90c3db7cda247ff4b0594fca55743cfc5f665e7e1d210e738d66f7f</x:v>
      </x:c>
    </x:row>
    <x:row r="166" ht="36" hidden="0" customHeight="1">
      <x:c r="A166" s="21" t="str">
        <x:v>IMG-D-002</x:v>
      </x:c>
      <x:c r="B166" s="13" t="str">
        <x:v>واجهة Meta Quest Developer Hub وحالة التطبيق Running</x:v>
      </x:c>
      <x:c r="C166" s="13" t="str">
        <x:v>دليل بصري مضمّن في البحث</x:v>
      </x:c>
      <x:c r="D166" s="13" t="str">
        <x:v>بحث_تطوير_بيئة_الواقع_الافتراضي_للهندسة_الفراغية_2026_محدث_بالإرشاد_الصوتي (1).docx</x:v>
      </x:c>
      <x:c r="E166" s="13" t="str">
        <x:v>word/media/image2.png</x:v>
      </x:c>
      <x:c r="F166" s="13" t="str">
        <x:v>P0423</x:v>
      </x:c>
      <x:c r="G166" s="27" t="n">
        <x:v>2048</x:v>
      </x:c>
      <x:c r="H166" s="27" t="n">
        <x:v>1281</x:v>
      </x:c>
      <x:c r="I166" s="27" t="n">
        <x:v>652752</x:v>
      </x:c>
      <x:c r="J166" s="13" t="str">
        <x:v>PNG</x:v>
      </x:c>
      <x:c r="K166" s="13" t="str">
        <x:v>IMG-D-002</x:v>
      </x:c>
      <x:c r="L166" s="13" t="str"/>
      <x:c r="M166" s="13" t="str">
        <x:v>حفظ النسخة التاريخية؛ اقتصاص بيانات النظام والجهاز غير اللازمة عند العرض</x:v>
      </x:c>
      <x:c r="N166" s="13" t="str">
        <x:v>appendices/appendix-i/index.html#figure-i-02</x:v>
      </x:c>
      <x:c r="O166" s="13" t="str">
        <x:v>assets/images/img-d-002.png</x:v>
      </x:c>
      <x:c r="P166" s="13" t="str">
        <x:v>واجهة Meta Quest Developer Hub وحالة التطبيق Running</x:v>
      </x:c>
      <x:c r="Q166" s="13" t="str">
        <x:v>تعرض الصورة الحالة المرئية فقط؛ الإصدار والتاريخ لا يثبتان من وجودها.</x:v>
      </x:c>
      <x:c r="R166" s="39" t="str">
        <x:v>45e50c9b6034a2f16c6af1975e8ffd0bdc09f456b7e59ec5e05e9203e359ba72</x:v>
      </x:c>
    </x:row>
    <x:row r="167" ht="36" hidden="0" customHeight="1">
      <x:c r="A167" s="22" t="str">
        <x:v>IMG-D-003</x:v>
      </x:c>
      <x:c r="B167" s="16" t="str">
        <x:v>الأسطوانة في مختبر المجسمات</x:v>
      </x:c>
      <x:c r="C167" s="16" t="str">
        <x:v>دليل بصري مضمّن في البحث</x:v>
      </x:c>
      <x:c r="D167" s="16" t="str">
        <x:v>بحث_تطوير_بيئة_الواقع_الافتراضي_للهندسة_الفراغية_2026_محدث_بالإرشاد_الصوتي (1).docx</x:v>
      </x:c>
      <x:c r="E167" s="16" t="str">
        <x:v>word/media/image3.jpeg</x:v>
      </x:c>
      <x:c r="F167" s="16" t="str">
        <x:v>T022</x:v>
      </x:c>
      <x:c r="G167" s="28" t="n">
        <x:v>1600</x:v>
      </x:c>
      <x:c r="H167" s="28" t="n">
        <x:v>900</x:v>
      </x:c>
      <x:c r="I167" s="28" t="n">
        <x:v>45769</x:v>
      </x:c>
      <x:c r="J167" s="16" t="str">
        <x:v>JPEG</x:v>
      </x:c>
      <x:c r="K167" s="16" t="str">
        <x:v>IMG-L-076</x:v>
      </x:c>
      <x:c r="L167" s="16" t="str">
        <x:v>IMG-L-076</x:v>
      </x:c>
      <x:c r="M167" s="16" t="str">
        <x:v>توثيق تاريخي؛ توثيق المصدر والإصدار قبل إعادة الاستخدام</x:v>
      </x:c>
      <x:c r="N167" s="16" t="str">
        <x:v>appendices/appendix-i/index.html#figure-i-03</x:v>
      </x:c>
      <x:c r="O167" s="16" t="str">
        <x:v>assets/images/img-l-076.jpeg</x:v>
      </x:c>
      <x:c r="P167" s="16" t="str">
        <x:v>الأسطوانة في مختبر المجسمات</x:v>
      </x:c>
      <x:c r="Q167" s="16" t="str">
        <x:v>تعرض الصورة الحالة المرئية فقط؛ الإصدار والتاريخ لا يثبتان من وجودها.</x:v>
      </x:c>
      <x:c r="R167" s="40" t="str">
        <x:v>d0b9d984b22a7a35377b1d51a010bb840a26a51f9e121784bb7a4420fe5e3fb5</x:v>
      </x:c>
    </x:row>
    <x:row r="168" ht="36" hidden="0" customHeight="1">
      <x:c r="A168" s="21" t="str">
        <x:v>IMG-D-004</x:v>
      </x:c>
      <x:c r="B168" s="13" t="str">
        <x:v>الكرة وتسميات خصائصها</x:v>
      </x:c>
      <x:c r="C168" s="13" t="str">
        <x:v>دليل بصري مضمّن في البحث</x:v>
      </x:c>
      <x:c r="D168" s="13" t="str">
        <x:v>بحث_تطوير_بيئة_الواقع_الافتراضي_للهندسة_الفراغية_2026_محدث_بالإرشاد_الصوتي (1).docx</x:v>
      </x:c>
      <x:c r="E168" s="13" t="str">
        <x:v>word/media/image4.jpeg</x:v>
      </x:c>
      <x:c r="F168" s="13" t="str">
        <x:v>T022</x:v>
      </x:c>
      <x:c r="G168" s="27" t="n">
        <x:v>1600</x:v>
      </x:c>
      <x:c r="H168" s="27" t="n">
        <x:v>900</x:v>
      </x:c>
      <x:c r="I168" s="27" t="n">
        <x:v>47505</x:v>
      </x:c>
      <x:c r="J168" s="13" t="str">
        <x:v>JPEG</x:v>
      </x:c>
      <x:c r="K168" s="13" t="str">
        <x:v>IMG-L-077</x:v>
      </x:c>
      <x:c r="L168" s="13" t="str">
        <x:v>IMG-L-077</x:v>
      </x:c>
      <x:c r="M168" s="13" t="str">
        <x:v>توثيق تاريخي؛ توثيق المصدر والإصدار قبل إعادة الاستخدام</x:v>
      </x:c>
      <x:c r="N168" s="13" t="str">
        <x:v>appendices/appendix-i/index.html#figure-i-04</x:v>
      </x:c>
      <x:c r="O168" s="13" t="str">
        <x:v>assets/images/img-l-077.jpeg</x:v>
      </x:c>
      <x:c r="P168" s="13" t="str">
        <x:v>الكرة وتسميات خصائصها</x:v>
      </x:c>
      <x:c r="Q168" s="13" t="str">
        <x:v>تعرض الصورة الحالة المرئية فقط؛ الإصدار والتاريخ لا يثبتان من وجودها.</x:v>
      </x:c>
      <x:c r="R168" s="39" t="str">
        <x:v>61d5f1ed709c796e515ab98c73a988e5a58d5f4d373bc94151f67d6764d272f2</x:v>
      </x:c>
    </x:row>
    <x:row r="169" ht="36" hidden="0" customHeight="1">
      <x:c r="A169" s="22" t="str">
        <x:v>IMG-D-005</x:v>
      </x:c>
      <x:c r="B169" s="16" t="str">
        <x:v>المكعب وتسميات وجه وحافة ورأس</x:v>
      </x:c>
      <x:c r="C169" s="16" t="str">
        <x:v>دليل بصري مضمّن في البحث</x:v>
      </x:c>
      <x:c r="D169" s="16" t="str">
        <x:v>بحث_تطوير_بيئة_الواقع_الافتراضي_للهندسة_الفراغية_2026_محدث_بالإرشاد_الصوتي (1).docx</x:v>
      </x:c>
      <x:c r="E169" s="16" t="str">
        <x:v>word/media/image5.jpeg</x:v>
      </x:c>
      <x:c r="F169" s="16" t="str">
        <x:v>P0464</x:v>
      </x:c>
      <x:c r="G169" s="28" t="n">
        <x:v>1600</x:v>
      </x:c>
      <x:c r="H169" s="28" t="n">
        <x:v>900</x:v>
      </x:c>
      <x:c r="I169" s="28" t="n">
        <x:v>44649</x:v>
      </x:c>
      <x:c r="J169" s="16" t="str">
        <x:v>JPEG</x:v>
      </x:c>
      <x:c r="K169" s="16" t="str">
        <x:v>IMG-L-006</x:v>
      </x:c>
      <x:c r="L169" s="16" t="str">
        <x:v>IMG-L-006</x:v>
      </x:c>
      <x:c r="M169" s="16" t="str">
        <x:v>توثيق تاريخي؛ توثيق المصدر والإصدار قبل إعادة الاستخدام</x:v>
      </x:c>
      <x:c r="N169" s="16" t="str">
        <x:v>appendices/appendix-i/index.html#figure-i-05</x:v>
      </x:c>
      <x:c r="O169" s="16" t="str">
        <x:v>assets/images/img-l-006.jpeg</x:v>
      </x:c>
      <x:c r="P169" s="16" t="str">
        <x:v>المكعب وتسميات وجه وحافة ورأس</x:v>
      </x:c>
      <x:c r="Q169" s="16" t="str">
        <x:v>تعرض الصورة الحالة المرئية فقط؛ الإصدار والتاريخ لا يثبتان من وجودها.</x:v>
      </x:c>
      <x:c r="R169" s="40" t="str">
        <x:v>80544b2c29ea2f19daaa80cd10f5aa2f32f6d2254f9381ac94db64ec20ff793f</x:v>
      </x:c>
    </x:row>
    <x:row r="170" ht="36" hidden="0" customHeight="1">
      <x:c r="A170" s="21" t="str">
        <x:v>IMG-D-006</x:v>
      </x:c>
      <x:c r="B170" s="13" t="str">
        <x:v>المكعب بعد تغيير زاوية العرض</x:v>
      </x:c>
      <x:c r="C170" s="13" t="str">
        <x:v>دليل بصري مضمّن في البحث</x:v>
      </x:c>
      <x:c r="D170" s="13" t="str">
        <x:v>بحث_تطوير_بيئة_الواقع_الافتراضي_للهندسة_الفراغية_2026_محدث_بالإرشاد_الصوتي (1).docx</x:v>
      </x:c>
      <x:c r="E170" s="13" t="str">
        <x:v>word/media/image6.jpeg</x:v>
      </x:c>
      <x:c r="F170" s="13" t="str">
        <x:v>P0469</x:v>
      </x:c>
      <x:c r="G170" s="27" t="n">
        <x:v>1600</x:v>
      </x:c>
      <x:c r="H170" s="27" t="n">
        <x:v>900</x:v>
      </x:c>
      <x:c r="I170" s="27" t="n">
        <x:v>42250</x:v>
      </x:c>
      <x:c r="J170" s="13" t="str">
        <x:v>JPEG</x:v>
      </x:c>
      <x:c r="K170" s="13" t="str">
        <x:v>IMG-L-080</x:v>
      </x:c>
      <x:c r="L170" s="13" t="str">
        <x:v>IMG-L-080</x:v>
      </x:c>
      <x:c r="M170" s="13" t="str">
        <x:v>توثيق تاريخي؛ توثيق المصدر والإصدار قبل إعادة الاستخدام</x:v>
      </x:c>
      <x:c r="N170" s="13" t="str">
        <x:v>appendices/appendix-i/index.html#figure-i-06</x:v>
      </x:c>
      <x:c r="O170" s="13" t="str">
        <x:v>assets/images/img-l-080.jpeg</x:v>
      </x:c>
      <x:c r="P170" s="13" t="str">
        <x:v>المكعب بعد تغيير زاوية العرض</x:v>
      </x:c>
      <x:c r="Q170" s="13" t="str">
        <x:v>تعرض الصورة الحالة المرئية فقط؛ الإصدار والتاريخ لا يثبتان من وجودها.</x:v>
      </x:c>
      <x:c r="R170" s="39" t="str">
        <x:v>787e3695614313b811d55b7761d95eae1374444351fe216e15412a1d9e3695a0</x:v>
      </x:c>
    </x:row>
    <x:row r="171" ht="36" hidden="0" customHeight="1">
      <x:c r="A171" s="22" t="str">
        <x:v>IMG-D-007</x:v>
      </x:c>
      <x:c r="B171" s="16" t="str">
        <x:v>لوحة مهام التهيئة ومجسماتها</x:v>
      </x:c>
      <x:c r="C171" s="16" t="str">
        <x:v>دليل بصري مضمّن في البحث</x:v>
      </x:c>
      <x:c r="D171" s="16" t="str">
        <x:v>بحث_تطوير_بيئة_الواقع_الافتراضي_للهندسة_الفراغية_2026_محدث_بالإرشاد_الصوتي (1).docx</x:v>
      </x:c>
      <x:c r="E171" s="16" t="str">
        <x:v>word/media/image7.png</x:v>
      </x:c>
      <x:c r="F171" s="16" t="str">
        <x:v>P0478</x:v>
      </x:c>
      <x:c r="G171" s="28" t="n">
        <x:v>2048</x:v>
      </x:c>
      <x:c r="H171" s="28" t="n">
        <x:v>1153</x:v>
      </x:c>
      <x:c r="I171" s="28" t="n">
        <x:v>1906592</x:v>
      </x:c>
      <x:c r="J171" s="16" t="str">
        <x:v>PNG</x:v>
      </x:c>
      <x:c r="K171" s="16" t="str">
        <x:v>IMG-D-007</x:v>
      </x:c>
      <x:c r="L171" s="16" t="str"/>
      <x:c r="M171" s="16" t="str">
        <x:v>توثيق تاريخي؛ توثيق المصدر والإصدار قبل إعادة الاستخدام</x:v>
      </x:c>
      <x:c r="N171" s="16" t="str">
        <x:v>appendices/appendix-i/index.html#figure-i-07</x:v>
      </x:c>
      <x:c r="O171" s="16" t="str">
        <x:v>assets/images/img-d-007.png</x:v>
      </x:c>
      <x:c r="P171" s="16" t="str">
        <x:v>لوحة مهام التهيئة ومجسماتها</x:v>
      </x:c>
      <x:c r="Q171" s="16" t="str">
        <x:v>تعرض الصورة الحالة المرئية فقط؛ الإصدار والتاريخ لا يثبتان من وجودها.</x:v>
      </x:c>
      <x:c r="R171" s="40" t="str">
        <x:v>b7e1b5e4ca52b30377649a686605ebd55386cc4c40ff236d1c0a055031665340</x:v>
      </x:c>
    </x:row>
    <x:row r="172" ht="36" hidden="0" customHeight="1">
      <x:c r="A172" s="21" t="str">
        <x:v>IMG-D-008</x:v>
      </x:c>
      <x:c r="B172" s="13" t="str">
        <x:v>إمساك الأسطوانة في التهيئة</x:v>
      </x:c>
      <x:c r="C172" s="13" t="str">
        <x:v>دليل بصري مضمّن في البحث</x:v>
      </x:c>
      <x:c r="D172" s="13" t="str">
        <x:v>بحث_تطوير_بيئة_الواقع_الافتراضي_للهندسة_الفراغية_2026_محدث_بالإرشاد_الصوتي (1).docx</x:v>
      </x:c>
      <x:c r="E172" s="13" t="str">
        <x:v>word/media/image8.png</x:v>
      </x:c>
      <x:c r="F172" s="13" t="str">
        <x:v>P0480</x:v>
      </x:c>
      <x:c r="G172" s="27" t="n">
        <x:v>2048</x:v>
      </x:c>
      <x:c r="H172" s="27" t="n">
        <x:v>1152</x:v>
      </x:c>
      <x:c r="I172" s="27" t="n">
        <x:v>1720819</x:v>
      </x:c>
      <x:c r="J172" s="13" t="str">
        <x:v>PNG</x:v>
      </x:c>
      <x:c r="K172" s="13" t="str">
        <x:v>IMG-D-008</x:v>
      </x:c>
      <x:c r="L172" s="13" t="str"/>
      <x:c r="M172" s="13" t="str">
        <x:v>توثيق تاريخي؛ توثيق المصدر والإصدار قبل إعادة الاستخدام</x:v>
      </x:c>
      <x:c r="N172" s="13" t="str">
        <x:v>appendices/appendix-i/index.html#figure-i-08</x:v>
      </x:c>
      <x:c r="O172" s="13" t="str">
        <x:v>assets/images/img-d-008.png</x:v>
      </x:c>
      <x:c r="P172" s="13" t="str">
        <x:v>إمساك الأسطوانة في التهيئة</x:v>
      </x:c>
      <x:c r="Q172" s="13" t="str">
        <x:v>تعرض الصورة الحالة المرئية فقط؛ الإصدار والتاريخ لا يثبتان من وجودها.</x:v>
      </x:c>
      <x:c r="R172" s="39" t="str">
        <x:v>9c974622debe6717906e6375ea55dbbae90a2a2b532b94515b64f1d3ec868e38</x:v>
      </x:c>
    </x:row>
    <x:row r="173" ht="36" hidden="0" customHeight="1">
      <x:c r="A173" s="22" t="str">
        <x:v>IMG-D-009</x:v>
      </x:c>
      <x:c r="B173" s="16" t="str">
        <x:v>إمساك المكعب في التهيئة</x:v>
      </x:c>
      <x:c r="C173" s="16" t="str">
        <x:v>دليل بصري مضمّن في البحث</x:v>
      </x:c>
      <x:c r="D173" s="16" t="str">
        <x:v>بحث_تطوير_بيئة_الواقع_الافتراضي_للهندسة_الفراغية_2026_محدث_بالإرشاد_الصوتي (1).docx</x:v>
      </x:c>
      <x:c r="E173" s="16" t="str">
        <x:v>word/media/image9.png</x:v>
      </x:c>
      <x:c r="F173" s="16" t="str">
        <x:v>P0483</x:v>
      </x:c>
      <x:c r="G173" s="28" t="n">
        <x:v>2048</x:v>
      </x:c>
      <x:c r="H173" s="28" t="n">
        <x:v>1150</x:v>
      </x:c>
      <x:c r="I173" s="28" t="n">
        <x:v>1876694</x:v>
      </x:c>
      <x:c r="J173" s="16" t="str">
        <x:v>PNG</x:v>
      </x:c>
      <x:c r="K173" s="16" t="str">
        <x:v>IMG-D-009</x:v>
      </x:c>
      <x:c r="L173" s="16" t="str"/>
      <x:c r="M173" s="16" t="str">
        <x:v>توثيق تاريخي؛ توثيق المصدر والإصدار قبل إعادة الاستخدام</x:v>
      </x:c>
      <x:c r="N173" s="16" t="str">
        <x:v>appendices/appendix-i/index.html#figure-i-09</x:v>
      </x:c>
      <x:c r="O173" s="16" t="str">
        <x:v>assets/images/img-d-009.png</x:v>
      </x:c>
      <x:c r="P173" s="16" t="str">
        <x:v>إمساك المكعب في التهيئة</x:v>
      </x:c>
      <x:c r="Q173" s="16" t="str">
        <x:v>تعرض الصورة الحالة المرئية فقط؛ الإصدار والتاريخ لا يثبتان من وجودها.</x:v>
      </x:c>
      <x:c r="R173" s="40" t="str">
        <x:v>feb0b52b9557cb57f2a73f6f6524360f9b8e04edde2bc21ebf3bc6afba6338f8</x:v>
      </x:c>
    </x:row>
    <x:row r="174" ht="24" hidden="0" customHeight="1">
      <x:c r="A174" s="33" t="str">
        <x:v>IMG-U-001</x:v>
      </x:c>
      <x:c r="B174" s="31" t="str">
        <x:v>لقطة صفحة مستودع Unity الخاص وملفات التوثيق</x:v>
      </x:c>
      <x:c r="C174" s="31" t="str">
        <x:v>لقطة/مادة بصرية؛ النوع في الوصف</x:v>
      </x:c>
      <x:c r="D174" s="31" t="str">
        <x:v>مرفق مباشر</x:v>
      </x:c>
      <x:c r="E174" s="31" t="str">
        <x:v>image(20261003-234809).png</x:v>
      </x:c>
      <x:c r="F174" s="31" t="str">
        <x:v>image(20261003-234809).png</x:v>
      </x:c>
      <x:c r="G174" s="35" t="n">
        <x:v>2048</x:v>
      </x:c>
      <x:c r="H174" s="35" t="n">
        <x:v>1281</x:v>
      </x:c>
      <x:c r="I174" s="35" t="n">
        <x:v>792034</x:v>
      </x:c>
      <x:c r="J174" s="31" t="str">
        <x:v>PNG</x:v>
      </x:c>
      <x:c r="K174" s="31" t="str">
        <x:v>IMG-U-001</x:v>
      </x:c>
      <x:c r="L174" s="31" t="str"/>
      <x:c r="M174" s="31" t="str">
        <x:v>اقتصاص واجهة المتصفح والحساب قبل استخدام لقطة مناسبة؛ لا تعد دليلًا على اجتياز الاختبارات</x:v>
      </x:c>
      <x:c r="N174" s="31" t="str">
        <x:v>development/index.html#repository</x:v>
      </x:c>
      <x:c r="O174" s="31" t="str">
        <x:v>assets/images/img-u-001.png</x:v>
      </x:c>
      <x:c r="P174" s="31" t="str">
        <x:v>لقطة صفحة مستودع Unity الخاص وملفات التوثيق</x:v>
      </x:c>
      <x:c r="Q174" s="31" t="str">
        <x:v>تعرض الصورة الحالة المرئية فقط؛ الإصدار والتاريخ لا يثبتان من وجودها.</x:v>
      </x:c>
      <x:c r="R174" s="41" t="str">
        <x:v>73894d7c36d29ad24a37b2c82b4bf3e514941038419e2250bb857960f46dd901</x:v>
      </x:c>
    </x:row>
  </x:sheetData>
  <x:mergeCells>
    <x:mergeCell ref="A1:E1"/>
    <x:mergeCell ref="A2:E2"/>
    <x:mergeCell ref="A3:E3"/>
  </x:mergeCells>
  <x:pageMargins left="0.7" right="0.7" top="0.75" bottom="0.75" header="0.3" footer="0.3"/>
  <x:tableParts count="1">
    <x:tablePart xmlns:r="http://schemas.openxmlformats.org/officeDocument/2006/relationships" r:id="R16c22553730a4a2c"/>
  </x:tableParts>
</x:worksheet>
</file>

<file path=xl/worksheets/sheet5.xml><?xml version="1.0" encoding="utf-8"?>
<x:worksheet xmlns:x="http://schemas.openxmlformats.org/spreadsheetml/2006/main">
  <x:sheetPr>
    <x:tabColor rgb="FF23364D"/>
  </x:sheetPr>
  <x:sheetViews>
    <x:sheetView showGridLines="0" workbookViewId="0">
      <x:pane xSplit="1" ySplit="5" topLeftCell="B6" activePane="bottomRight" state="frozen"/>
    </x:sheetView>
  </x:sheetViews>
  <x:sheetFormatPr defaultRowHeight="15"/>
  <x:cols>
    <x:col min="1" max="1" width="11.670000076293945" hidden="0" customWidth="1"/>
    <x:col min="2" max="2" width="51.11000061035156" hidden="0" customWidth="1"/>
    <x:col min="3" max="3" width="21.110000610351562" hidden="0" customWidth="1"/>
    <x:col min="4" max="4" width="46.66999816894531" hidden="0" customWidth="1"/>
    <x:col min="5" max="5" width="12.779999732971191" hidden="0" customWidth="1"/>
    <x:col min="6" max="6" width="11.670000076293945" hidden="0" customWidth="1"/>
    <x:col min="7" max="7" width="12.220000267028809" hidden="0" customWidth="1"/>
    <x:col min="8" max="8" width="14.4399995803833" hidden="0" customWidth="1"/>
    <x:col min="9" max="9" width="16.670000076293945" hidden="0" customWidth="1"/>
    <x:col min="10" max="10" width="36.66999816894531" hidden="0" customWidth="1"/>
    <x:col min="11" max="11" width="13.890000343322754" hidden="0" customWidth="1"/>
    <x:col min="12" max="12" width="14.4399995803833" hidden="0" customWidth="1"/>
    <x:col min="13" max="13" width="47.779998779296875" hidden="0" customWidth="1"/>
    <x:col min="14" max="14" width="34.439998626708984" hidden="0" customWidth="1"/>
    <x:col min="15" max="15" width="47.779998779296875" hidden="0" customWidth="1"/>
    <x:col min="16" max="16" width="40.560001373291016" hidden="0" customWidth="1"/>
    <x:col min="17" max="17" width="40.560001373291016" hidden="0" customWidth="1"/>
    <x:col min="18" max="18" width="72.22000122070312" hidden="0" customWidth="1"/>
    <x:col min="19" max="19" width="57.779998779296875" hidden="0" customWidth="1"/>
  </x:cols>
  <x:sheetData>
    <x:row r="1" ht="34" customHeight="1">
      <x:c r="A1" s="5" t="str">
        <x:v>الفيديو — مختبر الهندسة بالواقع الافتراضي</x:v>
      </x:c>
      <x:c r="B1" s="5"/>
      <x:c r="C1" s="5"/>
      <x:c r="D1" s="5"/>
      <x:c r="E1" s="5"/>
      <x:c r="F1" s="4"/>
      <x:c r="G1" s="4"/>
      <x:c r="H1" s="4"/>
      <x:c r="I1" s="4"/>
      <x:c r="J1" s="4"/>
      <x:c r="K1" s="4"/>
      <x:c r="L1" s="4"/>
      <x:c r="M1" s="4"/>
      <x:c r="N1" s="4"/>
      <x:c r="O1" s="4"/>
      <x:c r="P1" s="4"/>
      <x:c r="Q1" s="4"/>
      <x:c r="R1" s="4"/>
      <x:c r="S1" s="4"/>
    </x:row>
    <x:row r="2" ht="35" customHeight="1">
      <x:c r="A2" s="4" t="str">
        <x:v>المسارات مقترحة داخل الموقع؛ السجل يحتفظ بالأصل والتكرارات وملاحظات الاستكمال.</x:v>
      </x:c>
      <x:c r="B2" s="4"/>
      <x:c r="C2" s="4"/>
      <x:c r="D2" s="4"/>
      <x:c r="E2" s="4"/>
      <x:c r="F2" s="4"/>
      <x:c r="G2" s="4"/>
      <x:c r="H2" s="4"/>
      <x:c r="I2" s="4"/>
      <x:c r="J2" s="4"/>
      <x:c r="K2" s="4"/>
      <x:c r="L2" s="4"/>
      <x:c r="M2" s="4"/>
      <x:c r="N2" s="4"/>
      <x:c r="O2" s="4"/>
      <x:c r="P2" s="4"/>
      <x:c r="Q2" s="4"/>
      <x:c r="R2" s="4"/>
      <x:c r="S2" s="4"/>
    </x:row>
    <x:row r="3" ht="30" customHeight="1">
      <x:c r="A3" s="4" t="str">
        <x:v>تاريخ الجرد: 2026-10-04. تُترك البيانات غير المعروفة صريحة دون استنتاج الإصدار من اسم الملف.</x:v>
      </x:c>
      <x:c r="B3" s="4"/>
      <x:c r="C3" s="4"/>
      <x:c r="D3" s="4"/>
      <x:c r="E3" s="4"/>
      <x:c r="F3" s="4"/>
      <x:c r="G3" s="4"/>
      <x:c r="H3" s="4"/>
      <x:c r="I3" s="4"/>
      <x:c r="J3" s="4"/>
      <x:c r="K3" s="4"/>
      <x:c r="L3" s="4"/>
      <x:c r="M3" s="4"/>
      <x:c r="N3" s="4"/>
      <x:c r="O3" s="4"/>
      <x:c r="P3" s="4"/>
      <x:c r="Q3" s="4"/>
      <x:c r="R3" s="4"/>
      <x:c r="S3" s="4"/>
    </x:row>
    <x:row r="4">
      <x:c r="A4" s="4"/>
      <x:c r="B4" s="4"/>
      <x:c r="C4" s="4"/>
      <x:c r="D4" s="4"/>
      <x:c r="E4" s="4"/>
      <x:c r="F4" s="4"/>
      <x:c r="G4" s="4"/>
      <x:c r="H4" s="4"/>
      <x:c r="I4" s="4"/>
      <x:c r="J4" s="4"/>
      <x:c r="K4" s="4"/>
      <x:c r="L4" s="4"/>
      <x:c r="M4" s="4"/>
      <x:c r="N4" s="4"/>
      <x:c r="O4" s="4"/>
      <x:c r="P4" s="4"/>
      <x:c r="Q4" s="4"/>
      <x:c r="R4" s="4"/>
      <x:c r="S4" s="4"/>
    </x:row>
    <x:row r="5" ht="38" customHeight="1">
      <x:c r="A5" s="9" t="str">
        <x:v>المعرف</x:v>
      </x:c>
      <x:c r="B5" s="10" t="str">
        <x:v>الموضوع أو المحتوى المرئي</x:v>
      </x:c>
      <x:c r="C5" s="10" t="str">
        <x:v>الأرشيف أو المصدر</x:v>
      </x:c>
      <x:c r="D5" s="10" t="str">
        <x:v>العضو أو الملف الأصلي</x:v>
      </x:c>
      <x:c r="E5" s="10" t="str">
        <x:v>المدة ثانية</x:v>
      </x:c>
      <x:c r="F5" s="10" t="str">
        <x:v>العرض px</x:v>
      </x:c>
      <x:c r="G5" s="10" t="str">
        <x:v>الارتفاع px</x:v>
      </x:c>
      <x:c r="H5" s="10" t="str">
        <x:v>الحجم بايت</x:v>
      </x:c>
      <x:c r="I5" s="10" t="str">
        <x:v>ترميز الفيديو</x:v>
      </x:c>
      <x:c r="J5" s="10" t="str">
        <x:v>حالة الصوت</x:v>
      </x:c>
      <x:c r="K5" s="10" t="str">
        <x:v>المعرف الفريد</x:v>
      </x:c>
      <x:c r="L5" s="10" t="str">
        <x:v>مطابقة للأصل</x:v>
      </x:c>
      <x:c r="M5" s="10" t="str">
        <x:v>الوجهة المقترحة</x:v>
      </x:c>
      <x:c r="N5" s="10" t="str">
        <x:v>المسار المقترح</x:v>
      </x:c>
      <x:c r="O5" s="10" t="str">
        <x:v>أزمنة العينات ثانية</x:v>
      </x:c>
      <x:c r="P5" s="10" t="str">
        <x:v>تاريخ التسجيل</x:v>
      </x:c>
      <x:c r="Q5" s="10" t="str">
        <x:v>إصدار التطبيق</x:v>
      </x:c>
      <x:c r="R5" s="10" t="str">
        <x:v>حدود الفحص والدليل</x:v>
      </x:c>
      <x:c r="S5" s="11" t="str">
        <x:v>SHA-256</x:v>
      </x:c>
    </x:row>
    <x:row r="6" ht="72" hidden="0" customHeight="1">
      <x:c r="A6" s="21" t="str">
        <x:v>VID-01</x:v>
      </x:c>
      <x:c r="B6" s="13" t="str">
        <x:v>التهيئة والتدريب على التحكم ثم دخول مختبر المجسّمات</x:v>
      </x:c>
      <x:c r="C6" s="13" t="str">
        <x:v>مرفق مباشر</x:v>
      </x:c>
      <x:c r="D6" s="13" t="str">
        <x:v>01_Onboarding_Practice(1).mp4</x:v>
      </x:c>
      <x:c r="E6" s="45" t="n">
        <x:v>128.01039</x:v>
      </x:c>
      <x:c r="F6" s="27" t="n">
        <x:v>848</x:v>
      </x:c>
      <x:c r="G6" s="27" t="n">
        <x:v>478</x:v>
      </x:c>
      <x:c r="H6" s="27" t="n">
        <x:v>14691154</x:v>
      </x:c>
      <x:c r="I6" s="13" t="str">
        <x:v>h264</x:v>
      </x:c>
      <x:c r="J6" s="13" t="str">
        <x:v>مسار صوت موجود؛ لم يُستمع إلى محتواه</x:v>
      </x:c>
      <x:c r="K6" s="13" t="str">
        <x:v>VID-01</x:v>
      </x:c>
      <x:c r="L6" s="13" t="str"/>
      <x:c r="M6" s="13" t="str">
        <x:v>development/index.html#before-merge؛ chapters/chapter-03/index.html#section-3-9-1</x:v>
      </x:c>
      <x:c r="N6" s="13" t="str">
        <x:v>assets/videos/vid-01.mp4</x:v>
      </x:c>
      <x:c r="O6" s="13" t="str">
        <x:v>0.1، 2.56، 19.202، 42.243، 64.005، 85.767، 90، 98، 102، 108.809، 125.45، 127.91</x:v>
      </x:c>
      <x:c r="P6" s="13" t="str">
        <x:v>غير موثق في metadata؛ يحتاج الاستكمال من الباحث</x:v>
      </x:c>
      <x:c r="Q6" s="13" t="str">
        <x:v>غير موثق داخل الفيديو؛ يحتاج ربطًا بإصدار محدد من الباحث</x:v>
      </x:c>
      <x:c r="R6" s="13" t="str">
        <x:v>جرد ببيانات ffprobe وSHA-256، وفحص بصري لعينات بداية ووسط ونهاية ونقاط إضافية. لم تُشاهد الفيديوهات متصلة كاملة ولم يُسمع الصوت.؛ لا توجد وسوم creation_time/date في بيانات الملف المستخرجة؛ تاريخ الرفع لا يُستخدم تاريخ تصوير.؛ لا يظهر رقم إصدار موثوق أو حالة APK/Link أو اسم جهاز في اللقطات؛ لا تُنسب المقاطع تلقائيًا إلى الإصدار 1.3.0 أو إلى اختبار مستقل.؛ هذه تسجيلات عرض وظائف وليست دليلًا على أثر تعليمي لدى الطلاب.؛ لا يثبت الفيديو تحقق التجويفات الحديثة أو اكتمال اختبار المشهد المدمج.؛ لا يُستنتج نوع النظارة أو تشغيل APK مستقل من صورة وحدات التحكم.</x:v>
      </x:c>
      <x:c r="S6" s="39" t="str">
        <x:v>0ea1324a496346c9ca2c3dee13d6c666fca359d0a07870a85c4def9c1c61638d</x:v>
      </x:c>
    </x:row>
    <x:row r="7" ht="72" hidden="0" customHeight="1">
      <x:c r="A7" s="22" t="str">
        <x:v>VID-02</x:v>
      </x:c>
      <x:c r="B7" s="16" t="str">
        <x:v>استكشاف المجسّمات وخصائصها</x:v>
      </x:c>
      <x:c r="C7" s="16" t="str">
        <x:v>مرفق مباشر</x:v>
      </x:c>
      <x:c r="D7" s="16" t="str">
        <x:v>02_3D_Solids_Lab(1).mp4</x:v>
      </x:c>
      <x:c r="E7" s="46" t="n">
        <x:v>59.038125</x:v>
      </x:c>
      <x:c r="F7" s="28" t="n">
        <x:v>848</x:v>
      </x:c>
      <x:c r="G7" s="28" t="n">
        <x:v>478</x:v>
      </x:c>
      <x:c r="H7" s="28" t="n">
        <x:v>6487712</x:v>
      </x:c>
      <x:c r="I7" s="16" t="str">
        <x:v>h264</x:v>
      </x:c>
      <x:c r="J7" s="16" t="str">
        <x:v>مسار صوت موجود؛ لم يُستمع إلى محتواه</x:v>
      </x:c>
      <x:c r="K7" s="16" t="str">
        <x:v>VID-02</x:v>
      </x:c>
      <x:c r="L7" s="16" t="str"/>
      <x:c r="M7" s="16" t="str">
        <x:v>evidence/index.html#solids؛ chapters/chapter-04/index.html#section-4-5</x:v>
      </x:c>
      <x:c r="N7" s="16" t="str">
        <x:v>assets/videos/vid-02.mp4</x:v>
      </x:c>
      <x:c r="O7" s="16" t="str">
        <x:v>0.1، 1.181، 8.856، 19.483، 29.519، 39.556، 50.182، 57.857، 58.938</x:v>
      </x:c>
      <x:c r="P7" s="16" t="str">
        <x:v>غير موثق في metadata؛ يحتاج الاستكمال من الباحث</x:v>
      </x:c>
      <x:c r="Q7" s="16" t="str">
        <x:v>غير موثق داخل الفيديو؛ يحتاج ربطًا بإصدار محدد من الباحث</x:v>
      </x:c>
      <x:c r="R7" s="16" t="str">
        <x:v>جرد ببيانات ffprobe وSHA-256، وفحص بصري لعينات بداية ووسط ونهاية ونقاط إضافية. لم تُشاهد الفيديوهات متصلة كاملة ولم يُسمع الصوت.؛ لا توجد وسوم creation_time/date في بيانات الملف المستخرجة؛ تاريخ الرفع لا يُستخدم تاريخ تصوير.؛ لا يظهر رقم إصدار موثوق أو حالة APK/Link أو اسم جهاز في اللقطات؛ لا تُنسب المقاطع تلقائيًا إلى الإصدار 1.3.0 أو إلى اختبار مستقل.؛ هذه تسجيلات عرض وظائف وليست دليلًا على أثر تعليمي لدى الطلاب.؛ ظهور الأزرار لا يثبت اختبار كل زر أو دقة جميع النصوص العلمية.؛ لا يثبت آلية منطقة الفحص المشتركة الجديدة.</x:v>
      </x:c>
      <x:c r="S7" s="40" t="str">
        <x:v>6ca8980aeb493ee05036caf358be1299b4f95fe81a5112e134e98411dd9885ff</x:v>
      </x:c>
    </x:row>
    <x:row r="8" ht="72" hidden="0" customHeight="1">
      <x:c r="A8" s="21" t="str">
        <x:v>VID-03</x:v>
      </x:c>
      <x:c r="B8" s="13" t="str">
        <x:v>لوحة التكريم داخل البيئة</x:v>
      </x:c>
      <x:c r="C8" s="13" t="str">
        <x:v>مرفق مباشر</x:v>
      </x:c>
      <x:c r="D8" s="13" t="str">
        <x:v>03_Tribute_Panel(1).mp4</x:v>
      </x:c>
      <x:c r="E8" s="45" t="n">
        <x:v>19.001542</x:v>
      </x:c>
      <x:c r="F8" s="27" t="n">
        <x:v>848</x:v>
      </x:c>
      <x:c r="G8" s="27" t="n">
        <x:v>478</x:v>
      </x:c>
      <x:c r="H8" s="27" t="n">
        <x:v>2301225</x:v>
      </x:c>
      <x:c r="I8" s="13" t="str">
        <x:v>h264</x:v>
      </x:c>
      <x:c r="J8" s="13" t="str">
        <x:v>مسار صوت موجود؛ لم يُستمع إلى محتواه</x:v>
      </x:c>
      <x:c r="K8" s="13" t="str">
        <x:v>VID-03</x:v>
      </x:c>
      <x:c r="L8" s="13" t="str"/>
      <x:c r="M8" s="13" t="str">
        <x:v>about/index.html#acknowledgements</x:v>
      </x:c>
      <x:c r="N8" s="13" t="str">
        <x:v>assets/videos/vid-03.mp4</x:v>
      </x:c>
      <x:c r="O8" s="13" t="str">
        <x:v>0.1، 0.38، 2.85، 6.271، 9.501، 12.731، 16.151، 18.622، 18.902</x:v>
      </x:c>
      <x:c r="P8" s="13" t="str">
        <x:v>غير موثق في metadata؛ يحتاج الاستكمال من الباحث</x:v>
      </x:c>
      <x:c r="Q8" s="13" t="str">
        <x:v>غير موثق داخل الفيديو؛ يحتاج ربطًا بإصدار محدد من الباحث</x:v>
      </x:c>
      <x:c r="R8" s="13" t="str">
        <x:v>جرد ببيانات ffprobe وSHA-256، وفحص بصري لعينات بداية ووسط ونهاية ونقاط إضافية. لم تُشاهد الفيديوهات متصلة كاملة ولم يُسمع الصوت.؛ لا توجد وسوم creation_time/date في بيانات الملف المستخرجة؛ تاريخ الرفع لا يُستخدم تاريخ تصوير.؛ لا يظهر رقم إصدار موثوق أو حالة APK/Link أو اسم جهاز في اللقطات؛ لا تُنسب المقاطع تلقائيًا إلى الإصدار 1.3.0 أو إلى اختبار مستقل.؛ هذه تسجيلات عرض وظائف وليست دليلًا على أثر تعليمي لدى الطلاب.؛ لا تُعامل اللوحة دليلًا على هدف تعلم أو نتيجة تحقق وظيفي.؛ القرار التحريري لإدراج صورة الشخص ونص اللوحة يحتاج موافقة المؤلف ضمن تنظيم البحث.</x:v>
      </x:c>
      <x:c r="S8" s="39" t="str">
        <x:v>c9572e9d55e0a420b6f5c438247a6acf5d3ae0c921657e9788b0755de94fe4e9</x:v>
      </x:c>
    </x:row>
    <x:row r="9" ht="72" hidden="0" customHeight="1">
      <x:c r="A9" s="22" t="str">
        <x:v>VID-04</x:v>
      </x:c>
      <x:c r="B9" s="16" t="str">
        <x:v>مختبر التحويلات الهندسية</x:v>
      </x:c>
      <x:c r="C9" s="16" t="str">
        <x:v>مرفق مباشر</x:v>
      </x:c>
      <x:c r="D9" s="16" t="str">
        <x:v>04_Geometric_Transformations(1).mp4</x:v>
      </x:c>
      <x:c r="E9" s="46" t="n">
        <x:v>165.046729</x:v>
      </x:c>
      <x:c r="F9" s="28" t="n">
        <x:v>848</x:v>
      </x:c>
      <x:c r="G9" s="28" t="n">
        <x:v>478</x:v>
      </x:c>
      <x:c r="H9" s="28" t="n">
        <x:v>29583925</x:v>
      </x:c>
      <x:c r="I9" s="16" t="str">
        <x:v>h264</x:v>
      </x:c>
      <x:c r="J9" s="16" t="str">
        <x:v>مسار صوت موجود؛ لم يُستمع إلى محتواه</x:v>
      </x:c>
      <x:c r="K9" s="16" t="str">
        <x:v>VID-04</x:v>
      </x:c>
      <x:c r="L9" s="16" t="str"/>
      <x:c r="M9" s="16" t="str">
        <x:v>chapters/chapter-03/index.html#section-3-9-3؛ evidence/index.html#transformations</x:v>
      </x:c>
      <x:c r="N9" s="16" t="str">
        <x:v>assets/videos/vid-04.mp4</x:v>
      </x:c>
      <x:c r="O9" s="16" t="str">
        <x:v>0.1، 3.301، 24.757، 54.465، 82.523، 110.581، 140.29، 161.746، 164.947</x:v>
      </x:c>
      <x:c r="P9" s="16" t="str">
        <x:v>غير موثق في metadata؛ يحتاج الاستكمال من الباحث</x:v>
      </x:c>
      <x:c r="Q9" s="16" t="str">
        <x:v>غير موثق داخل الفيديو؛ يحتاج ربطًا بإصدار محدد من الباحث</x:v>
      </x:c>
      <x:c r="R9" s="16" t="str">
        <x:v>جرد ببيانات ffprobe وSHA-256، وفحص بصري لعينات بداية ووسط ونهاية ونقاط إضافية. لم تُشاهد الفيديوهات متصلة كاملة ولم يُسمع الصوت.؛ لا توجد وسوم creation_time/date في بيانات الملف المستخرجة؛ تاريخ الرفع لا يُستخدم تاريخ تصوير.؛ لا يظهر رقم إصدار موثوق أو حالة APK/Link أو اسم جهاز في اللقطات؛ لا تُنسب المقاطع تلقائيًا إلى الإصدار 1.3.0 أو إلى اختبار مستقل.؛ هذه تسجيلات عرض وظائف وليست دليلًا على أثر تعليمي لدى الطلاب.؛ اللقطات المختارة لا تثبت تجربة كل تحول وكل محور؛ زر Shear ظاهر لكن تطبيقه لم يظهر في العينات.؛ لا تعني معادلة التحجيم على الشاشة أنه جرى التحقق الرياضي من الشفرة.</x:v>
      </x:c>
      <x:c r="S9" s="40" t="str">
        <x:v>b9815cb380e7d334cea8874d48b7e7d323f12fcdb60ae5ada932602d81420994</x:v>
      </x:c>
    </x:row>
    <x:row r="10" ht="72" hidden="0" customHeight="1">
      <x:c r="A10" s="21" t="str">
        <x:v>VID-05</x:v>
      </x:c>
      <x:c r="B10" s="13" t="str">
        <x:v>تحديات التحويلات الثلاثة ومؤشر الإنجاز</x:v>
      </x:c>
      <x:c r="C10" s="13" t="str">
        <x:v>مرفق مباشر</x:v>
      </x:c>
      <x:c r="D10" s="13" t="str">
        <x:v>05_Transformation_Challenges(1).mp4</x:v>
      </x:c>
      <x:c r="E10" s="45" t="n">
        <x:v>155.045918</x:v>
      </x:c>
      <x:c r="F10" s="27" t="n">
        <x:v>848</x:v>
      </x:c>
      <x:c r="G10" s="27" t="n">
        <x:v>478</x:v>
      </x:c>
      <x:c r="H10" s="27" t="n">
        <x:v>31571613</x:v>
      </x:c>
      <x:c r="I10" s="13" t="str">
        <x:v>h264</x:v>
      </x:c>
      <x:c r="J10" s="13" t="str">
        <x:v>مسار صوت موجود؛ لم يُستمع إلى محتواه</x:v>
      </x:c>
      <x:c r="K10" s="13" t="str">
        <x:v>VID-05</x:v>
      </x:c>
      <x:c r="L10" s="13" t="str"/>
      <x:c r="M10" s="13" t="str">
        <x:v>chapters/chapter-03/index.html#section-3-9-3؛ evidence/index.html#transformations</x:v>
      </x:c>
      <x:c r="N10" s="13" t="str">
        <x:v>assets/videos/vid-05.mp4</x:v>
      </x:c>
      <x:c r="O10" s="13" t="str">
        <x:v>0.1، 3.101، 10، 15، 23.257، 51.165، 77.523، 103.881، 131.789، 151.945، 154.946</x:v>
      </x:c>
      <x:c r="P10" s="13" t="str">
        <x:v>غير موثق في metadata؛ يحتاج الاستكمال من الباحث</x:v>
      </x:c>
      <x:c r="Q10" s="13" t="str">
        <x:v>غير موثق داخل الفيديو؛ يحتاج ربطًا بإصدار محدد من الباحث</x:v>
      </x:c>
      <x:c r="R10" s="13" t="str">
        <x:v>جرد ببيانات ffprobe وSHA-256، وفحص بصري لعينات بداية ووسط ونهاية ونقاط إضافية. لم تُشاهد الفيديوهات متصلة كاملة ولم يُسمع الصوت.؛ لا توجد وسوم creation_time/date في بيانات الملف المستخرجة؛ تاريخ الرفع لا يُستخدم تاريخ تصوير.؛ لا يظهر رقم إصدار موثوق أو حالة APK/Link أو اسم جهاز في اللقطات؛ لا تُنسب المقاطع تلقائيًا إلى الإصدار 1.3.0 أو إلى اختبار مستقل.؛ هذه تسجيلات عرض وظائف وليست دليلًا على أثر تعليمي لدى الطلاب.؛ حالات الإنجاز المرئية لا تثبت اختبار جميع الاستجابات الصحيحة والخاطئة أو معايير قبول الشفرة.؛ وجود REPLAY VOICE لا يثبت تشغيل صوت أو محتواه أو توقيته.</x:v>
      </x:c>
      <x:c r="S10" s="39" t="str">
        <x:v>c4ae3f363c16ae28627caa99a3512d1f9feb717570e31fc83c975e8dec578c5c</x:v>
      </x:c>
    </x:row>
    <x:row r="11" ht="84" hidden="0" customHeight="1">
      <x:c r="A11" s="22" t="str">
        <x:v>VID-06</x:v>
      </x:c>
      <x:c r="B11" s="16" t="str">
        <x:v>تجربة المقاطع المستوية الناتجة من قطع المجسّمات</x:v>
      </x:c>
      <x:c r="C11" s="16" t="str">
        <x:v>مرفق مباشر</x:v>
      </x:c>
      <x:c r="D11" s="16" t="str">
        <x:v>06_Cross_Sections_Experiment(1).mp4</x:v>
      </x:c>
      <x:c r="E11" s="46" t="n">
        <x:v>82.039992</x:v>
      </x:c>
      <x:c r="F11" s="28" t="n">
        <x:v>848</x:v>
      </x:c>
      <x:c r="G11" s="28" t="n">
        <x:v>478</x:v>
      </x:c>
      <x:c r="H11" s="28" t="n">
        <x:v>15479881</x:v>
      </x:c>
      <x:c r="I11" s="16" t="str">
        <x:v>h264</x:v>
      </x:c>
      <x:c r="J11" s="16" t="str">
        <x:v>مسار صوت موجود؛ لم يُستمع إلى محتواه</x:v>
      </x:c>
      <x:c r="K11" s="16" t="str">
        <x:v>VID-06</x:v>
      </x:c>
      <x:c r="L11" s="16" t="str"/>
      <x:c r="M11" s="16" t="str">
        <x:v>chapters/chapter-03/index.html#cross-sections؛ evidence/index.html#cross-sections</x:v>
      </x:c>
      <x:c r="N11" s="16" t="str">
        <x:v>assets/videos/vid-06.mp4</x:v>
      </x:c>
      <x:c r="O11" s="16" t="str">
        <x:v>0.1، 1.641، 12.306، 27.073، 41.02، 54.967، 69.734، 80.399، 81.94</x:v>
      </x:c>
      <x:c r="P11" s="16" t="str">
        <x:v>غير موثق في metadata؛ يحتاج الاستكمال من الباحث</x:v>
      </x:c>
      <x:c r="Q11" s="16" t="str">
        <x:v>غير موثق داخل الفيديو؛ يحتاج ربطًا بإصدار محدد من الباحث</x:v>
      </x:c>
      <x:c r="R11" s="16" t="str">
        <x:v>جرد ببيانات ffprobe وSHA-256، وفحص بصري لعينات بداية ووسط ونهاية ونقاط إضافية. لم تُشاهد الفيديوهات متصلة كاملة ولم يُسمع الصوت.؛ لا توجد وسوم creation_time/date في بيانات الملف المستخرجة؛ تاريخ الرفع لا يُستخدم تاريخ تصوير.؛ لا يظهر رقم إصدار موثوق أو حالة APK/Link أو اسم جهاز في اللقطات؛ لا تُنسب المقاطع تلقائيًا إلى الإصدار 1.3.0 أو إلى اختبار مستقل.؛ هذه تسجيلات عرض وظائف وليست دليلًا على أثر تعليمي لدى الطلاب.؛ هذه نواتج ظاهرة على الشاشة وليست تحققًا شاملًا لكل موضع قطع ممكن.؛ لا يظهر في العينات توثيق صريح للقطع المكافئ أو الزائد؛ لا يُستنتج غيابهما عن التطبيق.؛ VOICE: ON يبيّن حالة زر فقط؛ لم يُفحص المحتوى المسموع.</x:v>
      </x:c>
      <x:c r="S11" s="40" t="str">
        <x:v>98e4e1beab1a1d5df6fac4070503c5efcac5852be1e8983d8f11ef5ca265e33c</x:v>
      </x:c>
    </x:row>
    <x:row r="12" ht="72" hidden="0" customHeight="1">
      <x:c r="A12" s="21" t="str">
        <x:v>VID-07</x:v>
      </x:c>
      <x:c r="B12" s="13" t="str">
        <x:v>مركز تعلم المقاطع والتحدي والتغذية الراجعة</x:v>
      </x:c>
      <x:c r="C12" s="13" t="str">
        <x:v>مرفق مباشر</x:v>
      </x:c>
      <x:c r="D12" s="13" t="str">
        <x:v>07_Cross_Sections_Learning_Center(1).mp4</x:v>
      </x:c>
      <x:c r="E12" s="45" t="n">
        <x:v>106.04194</x:v>
      </x:c>
      <x:c r="F12" s="27" t="n">
        <x:v>848</x:v>
      </x:c>
      <x:c r="G12" s="27" t="n">
        <x:v>478</x:v>
      </x:c>
      <x:c r="H12" s="27" t="n">
        <x:v>19802750</x:v>
      </x:c>
      <x:c r="I12" s="13" t="str">
        <x:v>h264</x:v>
      </x:c>
      <x:c r="J12" s="13" t="str">
        <x:v>مسار صوت موجود؛ لم يُستمع إلى محتواه</x:v>
      </x:c>
      <x:c r="K12" s="13" t="str">
        <x:v>VID-07</x:v>
      </x:c>
      <x:c r="L12" s="13" t="str"/>
      <x:c r="M12" s="13" t="str">
        <x:v>chapters/chapter-03/index.html#cross-sections؛ evidence/index.html#cross-sections</x:v>
      </x:c>
      <x:c r="N12" s="13" t="str">
        <x:v>assets/videos/vid-07.mp4</x:v>
      </x:c>
      <x:c r="O12" s="13" t="str">
        <x:v>0.1، 2.121، 8، 10، 15.906، 34.994، 53.021، 60، 71.048، 80، 90.136، 98، 103.921، 105.942</x:v>
      </x:c>
      <x:c r="P12" s="13" t="str">
        <x:v>غير موثق في metadata؛ يحتاج الاستكمال من الباحث</x:v>
      </x:c>
      <x:c r="Q12" s="13" t="str">
        <x:v>غير موثق داخل الفيديو؛ يحتاج ربطًا بإصدار محدد من الباحث</x:v>
      </x:c>
      <x:c r="R12" s="13" t="str">
        <x:v>جرد ببيانات ffprobe وSHA-256، وفحص بصري لعينات بداية ووسط ونهاية ونقاط إضافية. لم تُشاهد الفيديوهات متصلة كاملة ولم يُسمع الصوت.؛ لا توجد وسوم creation_time/date في بيانات الملف المستخرجة؛ تاريخ الرفع لا يُستخدم تاريخ تصوير.؛ لا يظهر رقم إصدار موثوق أو حالة APK/Link أو اسم جهاز في اللقطات؛ لا تُنسب المقاطع تلقائيًا إلى الإصدار 1.3.0 أو إلى اختبار مستقل.؛ هذه تسجيلات عرض وظائف وليست دليلًا على أثر تعليمي لدى الطلاب.؛ لا تثبت العينات اكتمال تحدي ناجح في مركز التعلم.؛ وجود أزرار الشرح ومقارنة النتائج لا يثبت أن جميع وظائفها جُرّبت.؛ لم يُفحص محتوى الصوت أو تزامنه.</x:v>
      </x:c>
      <x:c r="S12" s="39" t="str">
        <x:v>47516628a6259c730739845b0748cb8760c91826006901f2061d965d4c60bb52</x:v>
      </x:c>
    </x:row>
    <x:row r="13" ht="36" hidden="0" customHeight="1">
      <x:c r="A13" s="22" t="str">
        <x:v>AVID-01</x:v>
      </x:c>
      <x:c r="B13" s="16" t="str">
        <x:v>تظهر بيئة المختبر الزرقاء، وشاشة 3D SOLIDS LAB على الحائط، ومنصة أمامية عليها شكل تجويف منحني ومجسّم كروي جزئيًا في العينة النهائية.</x:v>
      </x:c>
      <x:c r="C13" s="16" t="str">
        <x:v>images.zip</x:v>
      </x:c>
      <x:c r="D13" s="16" t="str">
        <x:v>images/WhatsApp Video 2026-08-02 at 14.12.07.mp4</x:v>
      </x:c>
      <x:c r="E13" s="46" t="n">
        <x:v>34.114938</x:v>
      </x:c>
      <x:c r="F13" s="28" t="n">
        <x:v>848</x:v>
      </x:c>
      <x:c r="G13" s="28" t="n">
        <x:v>478</x:v>
      </x:c>
      <x:c r="H13" s="28" t="n">
        <x:v>6455045</x:v>
      </x:c>
      <x:c r="I13" s="16" t="str">
        <x:v>h264</x:v>
      </x:c>
      <x:c r="J13" s="16" t="str">
        <x:v>مسار صوت موجود؛ لم يُستمع إلى محتواه</x:v>
      </x:c>
      <x:c r="K13" s="16" t="str">
        <x:v>AVID-01</x:v>
      </x:c>
      <x:c r="L13" s="16" t="str"/>
      <x:c r="M13" s="16" t="str">
        <x:v>evidence/index.html#historical-video؛ appendices/appendix-i/index.html</x:v>
      </x:c>
      <x:c r="N13" s="16" t="str">
        <x:v>assets/videos/avid-01.mp4</x:v>
      </x:c>
      <x:c r="O13" s="16" t="str">
        <x:v>0.682، 17.057، 33.433</x:v>
      </x:c>
      <x:c r="P13" s="16" t="str">
        <x:v>غير مثبت؛ تاريخ اسم الملف وطابع ZIP لا يعادلان تاريخ تصوير متحققًا.</x:v>
      </x:c>
      <x:c r="Q13" s="16" t="str">
        <x:v>لا يظهر إصدار موثق في العينات</x:v>
      </x:c>
      <x:c r="R13" s="16" t="str">
        <x:v>تم استخراج ثلاث عينات بصرية من البداية والوسط والنهاية؛ لم يُفحص الفيديو كاملاً ولم يُستمع إلى الصوت ولم يُجرَ اختبار تفاعلي للتطبيق. لا تظهر العينات إتمام مهمة أو نجاح مطابقة؛ لا يمكن الجزم بحالة الدمج من هذه اللقطات وحدها.</x:v>
      </x:c>
      <x:c r="S13" s="40" t="str">
        <x:v>951b5990f3bc0ee3b8a2bb9facb7bb69612ce878bbe0e82a03633c634bc26858</x:v>
      </x:c>
    </x:row>
    <x:row r="14" ht="24" hidden="0" customHeight="1">
      <x:c r="A14" s="21" t="str">
        <x:v>AVID-02</x:v>
      </x:c>
      <x:c r="B14" s="13" t="str">
        <x:v>تظهر قائمة تطبيقات نظارة Quest والبيئة المنزلية الافتراضية فقط في العينات الثلاث.</x:v>
      </x:c>
      <x:c r="C14" s="13" t="str">
        <x:v>images.zip</x:v>
      </x:c>
      <x:c r="D14" s="13" t="str">
        <x:v>images/WhatsApp Video 2026-08-02 at 14.34.11.mp4</x:v>
      </x:c>
      <x:c r="E14" s="45" t="n">
        <x:v>2.400589</x:v>
      </x:c>
      <x:c r="F14" s="27" t="n">
        <x:v>848</x:v>
      </x:c>
      <x:c r="G14" s="27" t="n">
        <x:v>478</x:v>
      </x:c>
      <x:c r="H14" s="27" t="n">
        <x:v>374967</x:v>
      </x:c>
      <x:c r="I14" s="13" t="str">
        <x:v>h264</x:v>
      </x:c>
      <x:c r="J14" s="13" t="str">
        <x:v>مسار صوت موجود؛ لم يُستمع إلى محتواه</x:v>
      </x:c>
      <x:c r="K14" s="13" t="str">
        <x:v>AVID-02</x:v>
      </x:c>
      <x:c r="L14" s="13" t="str"/>
      <x:c r="M14" s="13" t="str">
        <x:v>evidence/index.html#historical-video؛ appendices/appendix-i/index.html</x:v>
      </x:c>
      <x:c r="N14" s="13" t="str">
        <x:v>assets/videos/avid-02.mp4</x:v>
      </x:c>
      <x:c r="O14" s="13" t="str">
        <x:v>0.15، 1.2، 2.301</x:v>
      </x:c>
      <x:c r="P14" s="13" t="str">
        <x:v>غير مثبت؛ تاريخ اسم الملف وطابع ZIP لا يعادلان تاريخ تصوير متحققًا.</x:v>
      </x:c>
      <x:c r="Q14" s="13" t="str">
        <x:v>لا يظهر إصدار موثق في العينات</x:v>
      </x:c>
      <x:c r="R14" s="13" t="str">
        <x:v>تم استخراج ثلاث عينات بصرية من البداية والوسط والنهاية؛ لم يُفحص الفيديو كاملاً ولم يُستمع إلى الصوت ولم يُجرَ اختبار تفاعلي للتطبيق. لا يظهر تشغيل مختبر الهندسة أو تفاعل تعليمي؛ المقطع قصير ولا يثبت نجاح التشغيل.</x:v>
      </x:c>
      <x:c r="S14" s="39" t="str">
        <x:v>3ad5792dcb9c0d9f98c1b3264255f91d3fe4e2c58f602a62f773a77e9ccff806</x:v>
      </x:c>
    </x:row>
    <x:row r="15" ht="36" hidden="0" customHeight="1">
      <x:c r="A15" s="22" t="str">
        <x:v>AVID-03</x:v>
      </x:c>
      <x:c r="B15" s="16" t="str">
        <x:v>تظهر منصة المجسّمات وشاشة 3D SOLIDS LAB، ثم مكعب عليه تسميات VERTEX وEDGE وFACE مع مؤشرات تحكم.</x:v>
      </x:c>
      <x:c r="C15" s="16" t="str">
        <x:v>images.zip</x:v>
      </x:c>
      <x:c r="D15" s="16" t="str">
        <x:v>images/WhatsApp Video 2026-08-02 at 15.11.23.mp4</x:v>
      </x:c>
      <x:c r="E15" s="46" t="n">
        <x:v>135.401396</x:v>
      </x:c>
      <x:c r="F15" s="28" t="n">
        <x:v>848</x:v>
      </x:c>
      <x:c r="G15" s="28" t="n">
        <x:v>478</x:v>
      </x:c>
      <x:c r="H15" s="28" t="n">
        <x:v>20906526</x:v>
      </x:c>
      <x:c r="I15" s="16" t="str">
        <x:v>h264</x:v>
      </x:c>
      <x:c r="J15" s="16" t="str">
        <x:v>مسار صوت موجود؛ لم يُستمع إلى محتواه</x:v>
      </x:c>
      <x:c r="K15" s="16" t="str">
        <x:v>AVID-03</x:v>
      </x:c>
      <x:c r="L15" s="16" t="str"/>
      <x:c r="M15" s="16" t="str">
        <x:v>evidence/index.html#historical-video؛ appendices/appendix-i/index.html</x:v>
      </x:c>
      <x:c r="N15" s="16" t="str">
        <x:v>assets/videos/avid-03.mp4</x:v>
      </x:c>
      <x:c r="O15" s="16" t="str">
        <x:v>2.708، 67.701، 132.693</x:v>
      </x:c>
      <x:c r="P15" s="16" t="str">
        <x:v>غير مثبت؛ تاريخ اسم الملف وطابع ZIP لا يعادلان تاريخ تصوير متحققًا.</x:v>
      </x:c>
      <x:c r="Q15" s="16" t="str">
        <x:v>لا يظهر إصدار موثق في العينات</x:v>
      </x:c>
      <x:c r="R15" s="16" t="str">
        <x:v>تم استخراج ثلاث عينات بصرية من البداية والوسط والنهاية؛ لم يُفحص الفيديو كاملاً ولم يُستمع إلى الصوت ولم يُجرَ اختبار تفاعلي للتطبيق. توثيق بصري لتسميات الخصائص والأزرار؛ لم يُفحص عمل كل زر أو دقة القيم أو التسلسل الكامل.</x:v>
      </x:c>
      <x:c r="S15" s="40" t="str">
        <x:v>01ebfd84e6476cc5ab37ff6a48d8b24e69b963e3136b64ba627dba732a43c66b</x:v>
      </x:c>
    </x:row>
    <x:row r="16" ht="36" hidden="0" customHeight="1">
      <x:c r="A16" s="21" t="str">
        <x:v>AVID-04</x:v>
      </x:c>
      <x:c r="B16" s="13" t="str">
        <x:v>تظهر منصة التهيئة ذات المجسّمات، وعينة وسطى خارج البيئة الافتراضية تعرض غرفة وأشخاصًا، ثم شاشة مختبر المجسّمات ومكعب.</x:v>
      </x:c>
      <x:c r="C16" s="13" t="str">
        <x:v>images.zip</x:v>
      </x:c>
      <x:c r="D16" s="13" t="str">
        <x:v>images/WhatsApp Video 2026-08-02 at 15.11.56.mp4</x:v>
      </x:c>
      <x:c r="E16" s="45" t="n">
        <x:v>88.243856</x:v>
      </x:c>
      <x:c r="F16" s="27" t="n">
        <x:v>848</x:v>
      </x:c>
      <x:c r="G16" s="27" t="n">
        <x:v>478</x:v>
      </x:c>
      <x:c r="H16" s="27" t="n">
        <x:v>16482435</x:v>
      </x:c>
      <x:c r="I16" s="13" t="str">
        <x:v>h264</x:v>
      </x:c>
      <x:c r="J16" s="13" t="str">
        <x:v>مسار صوت موجود؛ لم يُستمع إلى محتواه</x:v>
      </x:c>
      <x:c r="K16" s="13" t="str">
        <x:v>AVID-04</x:v>
      </x:c>
      <x:c r="L16" s="13" t="str"/>
      <x:c r="M16" s="13" t="str">
        <x:v>evidence/index.html#historical-video؛ appendices/appendix-i/index.html</x:v>
      </x:c>
      <x:c r="N16" s="13" t="str">
        <x:v>assets/videos/avid-04.mp4</x:v>
      </x:c>
      <x:c r="O16" s="13" t="str">
        <x:v>1.765، 44.122، 86.479</x:v>
      </x:c>
      <x:c r="P16" s="13" t="str">
        <x:v>غير مثبت؛ تاريخ اسم الملف وطابع ZIP لا يعادلان تاريخ تصوير متحققًا.</x:v>
      </x:c>
      <x:c r="Q16" s="13" t="str">
        <x:v>لا يظهر إصدار موثق في العينات</x:v>
      </x:c>
      <x:c r="R16" s="13" t="str">
        <x:v>تم استخراج ثلاث عينات بصرية من البداية والوسط والنهاية؛ لم يُفحص الفيديو كاملاً ولم يُستمع إلى الصوت ولم يُجرَ اختبار تفاعلي للتطبيق. العينة الوسطى تحتوي لقطة passthrough لغرفة وشخص؛ لا يُقترح نشر الملف كاملًا تلقائيًا. العينات لا تثبت الدمج الأخير ولا نتيجة مهمة مكتملة.</x:v>
      </x:c>
      <x:c r="S16" s="39" t="str">
        <x:v>3b1ed9bbc500900f67deedf3d95107e6b4d1b91d6df207fcb61e3da38b4f4586</x:v>
      </x:c>
    </x:row>
    <x:row r="17" ht="36" hidden="0" customHeight="1">
      <x:c r="A17" s="22" t="str">
        <x:v>AVID-05</x:v>
      </x:c>
      <x:c r="B17" s="16" t="str">
        <x:v>تظهر قائمة تطبيقات Quest في البداية، ثم منصة التهيئة وفي الوسط كرة محمولة أعلى المنصة ومؤشر تحكم، والمنصة وشاشة التعليمات في النهاية.</x:v>
      </x:c>
      <x:c r="C17" s="16" t="str">
        <x:v>images.zip</x:v>
      </x:c>
      <x:c r="D17" s="16" t="str">
        <x:v>images/WhatsApp Video 2026-08-02 at 15.12.22.mp4</x:v>
      </x:c>
      <x:c r="E17" s="46" t="n">
        <x:v>140.945167</x:v>
      </x:c>
      <x:c r="F17" s="28" t="n">
        <x:v>848</x:v>
      </x:c>
      <x:c r="G17" s="28" t="n">
        <x:v>478</x:v>
      </x:c>
      <x:c r="H17" s="28" t="n">
        <x:v>21928528</x:v>
      </x:c>
      <x:c r="I17" s="16" t="str">
        <x:v>h264</x:v>
      </x:c>
      <x:c r="J17" s="16" t="str">
        <x:v>مسار صوت موجود؛ لم يُستمع إلى محتواه</x:v>
      </x:c>
      <x:c r="K17" s="16" t="str">
        <x:v>AVID-05</x:v>
      </x:c>
      <x:c r="L17" s="16" t="str"/>
      <x:c r="M17" s="16" t="str">
        <x:v>evidence/index.html#historical-video؛ appendices/appendix-i/index.html</x:v>
      </x:c>
      <x:c r="N17" s="16" t="str">
        <x:v>assets/videos/avid-05.mp4</x:v>
      </x:c>
      <x:c r="O17" s="16" t="str">
        <x:v>2.819، 70.473، 138.126</x:v>
      </x:c>
      <x:c r="P17" s="16" t="str">
        <x:v>غير مثبت؛ تاريخ اسم الملف وطابع ZIP لا يعادلان تاريخ تصوير متحققًا.</x:v>
      </x:c>
      <x:c r="Q17" s="16" t="str">
        <x:v>لا يظهر إصدار موثق في العينات</x:v>
      </x:c>
      <x:c r="R17" s="16" t="str">
        <x:v>تم استخراج ثلاث عينات بصرية من البداية والوسط والنهاية؛ لم يُفحص الفيديو كاملاً ولم يُستمع إلى الصوت ولم يُجرَ اختبار تفاعلي للتطبيق. يمكن وصف ظهور التفاعل في عينة بصرية؛ لا تثبت العينات نجاح التطابق أو تنفيذ جميع الخطوات.</x:v>
      </x:c>
      <x:c r="S17" s="40" t="str">
        <x:v>602cee4ee5b49b1277065c5e523a2a2af491ac561ec61430ce1a1e4d64136bb7</x:v>
      </x:c>
    </x:row>
    <x:row r="18" ht="36" hidden="0" customHeight="1">
      <x:c r="A18" s="21" t="str">
        <x:v>AVID-06</x:v>
      </x:c>
      <x:c r="B18" s="13" t="str">
        <x:v>تظهر شاشة Made with Unity في البداية، ومختبر المجسّمات وكرة في الوسط، ثم شاشة المختبر وأسطوانة عليها تسمية CIRCULAR FACE في النهاية.</x:v>
      </x:c>
      <x:c r="C18" s="13" t="str">
        <x:v>images.zip</x:v>
      </x:c>
      <x:c r="D18" s="13" t="str">
        <x:v>images/WhatsApp Video 2026-08-02 at 15.51.05.mp4</x:v>
      </x:c>
      <x:c r="E18" s="45" t="n">
        <x:v>324.801433</x:v>
      </x:c>
      <x:c r="F18" s="27" t="n">
        <x:v>848</x:v>
      </x:c>
      <x:c r="G18" s="27" t="n">
        <x:v>478</x:v>
      </x:c>
      <x:c r="H18" s="27" t="n">
        <x:v>49949489</x:v>
      </x:c>
      <x:c r="I18" s="13" t="str">
        <x:v>h264</x:v>
      </x:c>
      <x:c r="J18" s="13" t="str">
        <x:v>مسار صوت موجود؛ لم يُستمع إلى محتواه</x:v>
      </x:c>
      <x:c r="K18" s="13" t="str">
        <x:v>AVID-06</x:v>
      </x:c>
      <x:c r="L18" s="13" t="str"/>
      <x:c r="M18" s="13" t="str">
        <x:v>evidence/index.html#historical-video؛ appendices/appendix-i/index.html</x:v>
      </x:c>
      <x:c r="N18" s="13" t="str">
        <x:v>assets/videos/avid-06.mp4</x:v>
      </x:c>
      <x:c r="O18" s="13" t="str">
        <x:v>6.496، 162.401، 318.305</x:v>
      </x:c>
      <x:c r="P18" s="13" t="str">
        <x:v>غير مثبت؛ تاريخ اسم الملف وطابع ZIP لا يعادلان تاريخ تصوير متحققًا.</x:v>
      </x:c>
      <x:c r="Q18" s="13" t="str">
        <x:v>لا يظهر إصدار موثق في العينات</x:v>
      </x:c>
      <x:c r="R18" s="13" t="str">
        <x:v>تم استخراج ثلاث عينات بصرية من البداية والوسط والنهاية؛ لم يُفحص الفيديو كاملاً ولم يُستمع إلى الصوت ولم يُجرَ اختبار تفاعلي للتطبيق. توثق العينات وجود واجهة للمجسّمات والتسميات؛ لم يُفحص الأداء أو كل الوظائف أو دقة المعلومات أثناء التشغيل.</x:v>
      </x:c>
      <x:c r="S18" s="39" t="str">
        <x:v>6fc3e91261f28426eee6d2337cb09e580a4a1a748cf9b53f035317d2df3fc2b6</x:v>
      </x:c>
    </x:row>
    <x:row r="19" ht="36" hidden="0" customHeight="1">
      <x:c r="A19" s="22" t="str">
        <x:v>AVID-07</x:v>
      </x:c>
      <x:c r="B19" s="16" t="str">
        <x:v>تظهر شاشة فيديو داخل بيئة المختبر تعرض تسجيلًا للمختبر، مع عناصر تحكم افتراضية بعنوان Default Input Controls، ومجسّمات في المقدمة.</x:v>
      </x:c>
      <x:c r="C19" s="16" t="str">
        <x:v>images.zip</x:v>
      </x:c>
      <x:c r="D19" s="16" t="str">
        <x:v>images/WhatsApp Video 2026-08-03 at 00.36.42.mp4</x:v>
      </x:c>
      <x:c r="E19" s="46" t="n">
        <x:v>1.485778</x:v>
      </x:c>
      <x:c r="F19" s="28" t="n">
        <x:v>848</x:v>
      </x:c>
      <x:c r="G19" s="28" t="n">
        <x:v>478</x:v>
      </x:c>
      <x:c r="H19" s="28" t="n">
        <x:v>249086</x:v>
      </x:c>
      <x:c r="I19" s="16" t="str">
        <x:v>h264</x:v>
      </x:c>
      <x:c r="J19" s="16" t="str">
        <x:v>مسار صوت موجود؛ لم يُستمع إلى محتواه</x:v>
      </x:c>
      <x:c r="K19" s="16" t="str">
        <x:v>AVID-07</x:v>
      </x:c>
      <x:c r="L19" s="16" t="str"/>
      <x:c r="M19" s="16" t="str">
        <x:v>evidence/index.html#historical-video؛ appendices/appendix-i/index.html</x:v>
      </x:c>
      <x:c r="N19" s="16" t="str">
        <x:v>assets/videos/avid-07.mp4</x:v>
      </x:c>
      <x:c r="O19" s="16" t="str">
        <x:v>0.15، 0.743، 1.386</x:v>
      </x:c>
      <x:c r="P19" s="16" t="str">
        <x:v>غير مثبت؛ تاريخ اسم الملف وطابع ZIP لا يعادلان تاريخ تصوير متحققًا.</x:v>
      </x:c>
      <x:c r="Q19" s="16" t="str">
        <x:v>لا يظهر إصدار موثق في العينات</x:v>
      </x:c>
      <x:c r="R19" s="16" t="str">
        <x:v>تم استخراج ثلاث عينات بصرية من البداية والوسط والنهاية؛ لم يُفحص الفيديو كاملاً ولم يُستمع إلى الصوت ولم يُجرَ اختبار تفاعلي للتطبيق. مقطع مدته نحو ثانية ونصف؛ لا يكفي للتحقق من عناصر تشغيل الفيديو أو مدته أو صوت الشرح.</x:v>
      </x:c>
      <x:c r="S19" s="40" t="str">
        <x:v>db5fd8a6b9e89bc04c3c118cf5d6c568c3083b70cf15e202c3d154c40ca227dc</x:v>
      </x:c>
    </x:row>
    <x:row r="20" ht="36" hidden="0" customHeight="1">
      <x:c r="A20" s="21" t="str">
        <x:v>AVID-08</x:v>
      </x:c>
      <x:c r="B20" s="13" t="str">
        <x:v>تظهر شاشة فيديو داخل المختبر في العينات الثلاث، ويتغير المشهد المعروض بين شاشة خصائص المجسّمات والأسطوانة، مع مجسّمات أمام الشاشة.</x:v>
      </x:c>
      <x:c r="C20" s="13" t="str">
        <x:v>images.zip</x:v>
      </x:c>
      <x:c r="D20" s="13" t="str">
        <x:v>images/WhatsApp Video 2026-08-03 at 00.39.34.mp4</x:v>
      </x:c>
      <x:c r="E20" s="45" t="n">
        <x:v>3.901933</x:v>
      </x:c>
      <x:c r="F20" s="27" t="n">
        <x:v>848</x:v>
      </x:c>
      <x:c r="G20" s="27" t="n">
        <x:v>478</x:v>
      </x:c>
      <x:c r="H20" s="27" t="n">
        <x:v>554593</x:v>
      </x:c>
      <x:c r="I20" s="13" t="str">
        <x:v>h264</x:v>
      </x:c>
      <x:c r="J20" s="13" t="str">
        <x:v>مسار صوت موجود؛ لم يُستمع إلى محتواه</x:v>
      </x:c>
      <x:c r="K20" s="13" t="str">
        <x:v>AVID-08</x:v>
      </x:c>
      <x:c r="L20" s="13" t="str"/>
      <x:c r="M20" s="13" t="str">
        <x:v>evidence/index.html#historical-video؛ appendices/appendix-i/index.html</x:v>
      </x:c>
      <x:c r="N20" s="13" t="str">
        <x:v>assets/videos/avid-08.mp4</x:v>
      </x:c>
      <x:c r="O20" s="13" t="str">
        <x:v>0.15، 1.951، 3.802</x:v>
      </x:c>
      <x:c r="P20" s="13" t="str">
        <x:v>غير مثبت؛ تاريخ اسم الملف وطابع ZIP لا يعادلان تاريخ تصوير متحققًا.</x:v>
      </x:c>
      <x:c r="Q20" s="13" t="str">
        <x:v>لا يظهر إصدار موثق في العينات</x:v>
      </x:c>
      <x:c r="R20" s="13" t="str">
        <x:v>تم استخراج ثلاث عينات بصرية من البداية والوسط والنهاية؛ لم يُفحص الفيديو كاملاً ولم يُستمع إلى الصوت ولم يُجرَ اختبار تفاعلي للتطبيق. اختلاف الإطارات يدل على وجود تسجيل متغير داخل الشاشة؛ لا يثبت سلامة جميع أزرار التحكم أو توافق الصوت.</x:v>
      </x:c>
      <x:c r="S20" s="39" t="str">
        <x:v>479f7b05291d07c0f6af877e7ee13614d05169869dcc464a842c82fcf9edc832</x:v>
      </x:c>
    </x:row>
    <x:row r="21" ht="36" hidden="0" customHeight="1">
      <x:c r="A21" s="22" t="str">
        <x:v>AVID-09</x:v>
      </x:c>
      <x:c r="B21" s="16" t="str">
        <x:v>تظهر منصة التهيئة الوردية وشاشة الترحيب، ثم مختبر التحويلات وخيارات الدوران والمحاور وعرض Original/Result، ثم لوحة STAGE NAVIGATOR تضم ONBOARDING وSOLIDS LAB وTRANSFORMS LAB.</x:v>
      </x:c>
      <x:c r="C21" s="16" t="str">
        <x:v>images_4.zip</x:v>
      </x:c>
      <x:c r="D21" s="16" t="str">
        <x:v>images_4/Geometry VR Lab Video Version 6.mp4</x:v>
      </x:c>
      <x:c r="E21" s="46" t="n">
        <x:v>405.384167</x:v>
      </x:c>
      <x:c r="F21" s="28" t="n">
        <x:v>848</x:v>
      </x:c>
      <x:c r="G21" s="28" t="n">
        <x:v>478</x:v>
      </x:c>
      <x:c r="H21" s="28" t="n">
        <x:v>61915985</x:v>
      </x:c>
      <x:c r="I21" s="16" t="str">
        <x:v>h264</x:v>
      </x:c>
      <x:c r="J21" s="16" t="str">
        <x:v>مسار صوت موجود؛ لم يُستمع إلى محتواه</x:v>
      </x:c>
      <x:c r="K21" s="16" t="str">
        <x:v>AVID-09</x:v>
      </x:c>
      <x:c r="L21" s="16" t="str"/>
      <x:c r="M21" s="16" t="str">
        <x:v>evidence/index.html#historical-video؛ appendices/appendix-i/index.html</x:v>
      </x:c>
      <x:c r="N21" s="16" t="str">
        <x:v>assets/videos/avid-09.mp4</x:v>
      </x:c>
      <x:c r="O21" s="16" t="str">
        <x:v>8.108، 202.692، 397.276</x:v>
      </x:c>
      <x:c r="P21" s="16" t="str">
        <x:v>غير مثبت؛ تاريخ اسم الملف وطابع ZIP لا يعادلان تاريخ تصوير متحققًا.</x:v>
      </x:c>
      <x:c r="Q21" s="16" t="str">
        <x:v>لا يظهر إصدار موثق في العينات</x:v>
      </x:c>
      <x:c r="R21" s="16" t="str">
        <x:v>تم استخراج ثلاث عينات بصرية من البداية والوسط والنهاية؛ لم يُفحص الفيديو كاملاً ولم يُستمع إلى الصوت ولم يُجرَ اختبار تفاعلي للتطبيق. عنوان الملف Version 6 لا يثبت رقم إصدار التطبيق؛ توثيق أسماء مراحل منفصلة في العينة الأخيرة. لا يثبت المشهد الموحّد الجديد أو جميع التحويلات.</x:v>
      </x:c>
      <x:c r="S21" s="40" t="str">
        <x:v>f40f2d88df949382d113f46afa884a7d1743644a486cb52691f016cb2eadc58e</x:v>
      </x:c>
    </x:row>
    <x:row r="22" ht="36" hidden="0" customHeight="1">
      <x:c r="A22" s="21" t="str">
        <x:v>AVID-10</x:v>
      </x:c>
      <x:c r="B22" s="13" t="str">
        <x:v>تظهر منصة التهيئة الوردية وشاشة الترحيب، ثم واجهة التحويلات وخيارات Translation/Rotation/Reflection/Scale/Shear والمحاور، ثم تجويف الكرة على منصة التهيئة.</x:v>
      </x:c>
      <x:c r="C22" s="13" t="str">
        <x:v>images_4.zip</x:v>
      </x:c>
      <x:c r="D22" s="13" t="str">
        <x:v>images_4/Geometry VR Lab Video.mp4</x:v>
      </x:c>
      <x:c r="E22" s="45" t="n">
        <x:v>685.646333</x:v>
      </x:c>
      <x:c r="F22" s="27" t="n">
        <x:v>848</x:v>
      </x:c>
      <x:c r="G22" s="27" t="n">
        <x:v>478</x:v>
      </x:c>
      <x:c r="H22" s="27" t="n">
        <x:v>106042625</x:v>
      </x:c>
      <x:c r="I22" s="13" t="str">
        <x:v>h264</x:v>
      </x:c>
      <x:c r="J22" s="13" t="str">
        <x:v>مسار صوت موجود؛ لم يُستمع إلى محتواه</x:v>
      </x:c>
      <x:c r="K22" s="13" t="str">
        <x:v>AVID-10</x:v>
      </x:c>
      <x:c r="L22" s="13" t="str"/>
      <x:c r="M22" s="13" t="str">
        <x:v>evidence/index.html#historical-video؛ appendices/appendix-i/index.html</x:v>
      </x:c>
      <x:c r="N22" s="13" t="str">
        <x:v>assets/videos/avid-10.mp4</x:v>
      </x:c>
      <x:c r="O22" s="13" t="str">
        <x:v>13.713، 342.823، 671.933</x:v>
      </x:c>
      <x:c r="P22" s="13" t="str">
        <x:v>غير مثبت؛ تاريخ اسم الملف وطابع ZIP لا يعادلان تاريخ تصوير متحققًا.</x:v>
      </x:c>
      <x:c r="Q22" s="13" t="str">
        <x:v>لا يظهر إصدار موثق في العينات</x:v>
      </x:c>
      <x:c r="R22" s="13" t="str">
        <x:v>تم استخراج ثلاث عينات بصرية من البداية والوسط والنهاية؛ لم يُفحص الفيديو كاملاً ولم يُستمع إلى الصوت ولم يُجرَ اختبار تفاعلي للتطبيق. العينات لا تشمل الفيديو كاملًا؛ ظهور خيارات التحويلات لا يثبت نجاح تنفيذها أو دقتها.</x:v>
      </x:c>
      <x:c r="S22" s="39" t="str">
        <x:v>5dd10a8aabaa156336aec099593763afc008f90852ff9876b848843e2aff9d95</x:v>
      </x:c>
    </x:row>
    <x:row r="23" ht="36" hidden="0" customHeight="1">
      <x:c r="A23" s="22" t="str">
        <x:v>AVID-11</x:v>
      </x:c>
      <x:c r="B23" s="16" t="str">
        <x:v>تظهر واجهة SideQuest داخل متصفح النظارة، وصفحات حساب/مكتبة، ثم صفحة Geometry VR Lab وصور تعريفية للتطبيق.</x:v>
      </x:c>
      <x:c r="C23" s="16" t="str">
        <x:v>images_4.zip</x:v>
      </x:c>
      <x:c r="D23" s="16" t="str">
        <x:v>images_4/WhatsApp Video 2026-08-15 at 14.22.10.mp4</x:v>
      </x:c>
      <x:c r="E23" s="46" t="n">
        <x:v>86.521211</x:v>
      </x:c>
      <x:c r="F23" s="28" t="n">
        <x:v>848</x:v>
      </x:c>
      <x:c r="G23" s="28" t="n">
        <x:v>478</x:v>
      </x:c>
      <x:c r="H23" s="28" t="n">
        <x:v>18436575</x:v>
      </x:c>
      <x:c r="I23" s="16" t="str">
        <x:v>h264</x:v>
      </x:c>
      <x:c r="J23" s="16" t="str">
        <x:v>مسار صوت موجود؛ لم يُستمع إلى محتواه</x:v>
      </x:c>
      <x:c r="K23" s="16" t="str">
        <x:v>AVID-11</x:v>
      </x:c>
      <x:c r="L23" s="16" t="str"/>
      <x:c r="M23" s="16" t="str">
        <x:v>evidence/index.html#historical-video؛ appendices/appendix-i/index.html</x:v>
      </x:c>
      <x:c r="N23" s="16" t="str">
        <x:v>assets/videos/avid-11.mp4</x:v>
      </x:c>
      <x:c r="O23" s="16" t="str">
        <x:v>1.73، 43.261، 84.791</x:v>
      </x:c>
      <x:c r="P23" s="16" t="str">
        <x:v>غير مثبت؛ تاريخ اسم الملف وطابع ZIP لا يعادلان تاريخ تصوير متحققًا.</x:v>
      </x:c>
      <x:c r="Q23" s="16" t="str">
        <x:v>لا يظهر إصدار موثق في العينات</x:v>
      </x:c>
      <x:c r="R23" s="16" t="str">
        <x:v>تم استخراج ثلاث عينات بصرية من البداية والوسط والنهاية؛ لم يُفحص الفيديو كاملاً ولم يُستمع إلى الصوت ولم يُجرَ اختبار تفاعلي للتطبيق. يوثق مظهر صفحة التطبيق في SideQuest وقت التسجيل فقط؛ لا يثبت نشر النسخة الجديدة أو حالتها الحالية أو عدد مستخدميها. تظهر واجهة حساب تستلزم اختيار مقتطف مناسب.</x:v>
      </x:c>
      <x:c r="S23" s="40" t="str">
        <x:v>e3a1435aa379c44e7a7a6a19df3ad16144e7492eb18acac8c3c49eafbd00538f</x:v>
      </x:c>
    </x:row>
    <x:row r="24" ht="36" hidden="0" customHeight="1">
      <x:c r="A24" s="21" t="str">
        <x:v>AVID-12</x:v>
      </x:c>
      <x:c r="B24" s="13" t="str">
        <x:v>تظهر صفحة دعم SideQuest داخل متصفح النظارة بعنوان Unauthorized? Unable to connect the Quest? ... في العينات.</x:v>
      </x:c>
      <x:c r="C24" s="13" t="str">
        <x:v>images_4.zip</x:v>
      </x:c>
      <x:c r="D24" s="13" t="str">
        <x:v>images_4/WhatsApp Video 2026-08-15 at 14.22.31.mp4</x:v>
      </x:c>
      <x:c r="E24" s="45" t="n">
        <x:v>3.633767</x:v>
      </x:c>
      <x:c r="F24" s="27" t="n">
        <x:v>848</x:v>
      </x:c>
      <x:c r="G24" s="27" t="n">
        <x:v>478</x:v>
      </x:c>
      <x:c r="H24" s="27" t="n">
        <x:v>801468</x:v>
      </x:c>
      <x:c r="I24" s="13" t="str">
        <x:v>h264</x:v>
      </x:c>
      <x:c r="J24" s="13" t="str">
        <x:v>مسار صوت موجود؛ لم يُستمع إلى محتواه</x:v>
      </x:c>
      <x:c r="K24" s="13" t="str">
        <x:v>AVID-12</x:v>
      </x:c>
      <x:c r="L24" s="13" t="str"/>
      <x:c r="M24" s="13" t="str">
        <x:v>evidence/index.html#historical-video؛ appendices/appendix-i/index.html</x:v>
      </x:c>
      <x:c r="N24" s="13" t="str">
        <x:v>assets/videos/avid-12.mp4</x:v>
      </x:c>
      <x:c r="O24" s="13" t="str">
        <x:v>0.15، 1.817، 3.534</x:v>
      </x:c>
      <x:c r="P24" s="13" t="str">
        <x:v>غير مثبت؛ تاريخ اسم الملف وطابع ZIP لا يعادلان تاريخ تصوير متحققًا.</x:v>
      </x:c>
      <x:c r="Q24" s="13" t="str">
        <x:v>لا يظهر إصدار موثق في العينات</x:v>
      </x:c>
      <x:c r="R24" s="13" t="str">
        <x:v>تم استخراج ثلاث عينات بصرية من البداية والوسط والنهاية؛ لم يُفحص الفيديو كاملاً ولم يُستمع إلى الصوت ولم يُجرَ اختبار تفاعلي للتطبيق. لا يمكن تشخيص مشكلة أو الجزم بحدوث خطأ للمشروع من ظهور صفحة الدعم؛ لم يُفحص النص كاملًا.</x:v>
      </x:c>
      <x:c r="S24" s="39" t="str">
        <x:v>12da7675ce73cf2009a8a6474dba0d15c88620d870996c43282f1702772004be</x:v>
      </x:c>
    </x:row>
    <x:row r="25" ht="36" hidden="0" customHeight="1">
      <x:c r="A25" s="22" t="str">
        <x:v>AVID-13</x:v>
      </x:c>
      <x:c r="B25" s="16" t="str">
        <x:v>تظهر إعدادات Quest الخاصة بتطبيق Geometry VR Lab وفيها Installed version information وRelease channels ورسالة عدم وجود أذونات للتطبيق.</x:v>
      </x:c>
      <x:c r="C25" s="16" t="str">
        <x:v>images_4.zip</x:v>
      </x:c>
      <x:c r="D25" s="16" t="str">
        <x:v>images_4/WhatsApp Video 2026-08-15 at 14.37.33.mp4</x:v>
      </x:c>
      <x:c r="E25" s="46" t="n">
        <x:v>2.834033</x:v>
      </x:c>
      <x:c r="F25" s="28" t="n">
        <x:v>848</x:v>
      </x:c>
      <x:c r="G25" s="28" t="n">
        <x:v>478</x:v>
      </x:c>
      <x:c r="H25" s="28" t="n">
        <x:v>522972</x:v>
      </x:c>
      <x:c r="I25" s="16" t="str">
        <x:v>h264</x:v>
      </x:c>
      <x:c r="J25" s="16" t="str">
        <x:v>مسار صوت موجود؛ لم يُستمع إلى محتواه</x:v>
      </x:c>
      <x:c r="K25" s="16" t="str">
        <x:v>AVID-13</x:v>
      </x:c>
      <x:c r="L25" s="16" t="str"/>
      <x:c r="M25" s="16" t="str">
        <x:v>evidence/index.html#historical-video؛ appendices/appendix-i/index.html</x:v>
      </x:c>
      <x:c r="N25" s="16" t="str">
        <x:v>assets/videos/avid-13.mp4</x:v>
      </x:c>
      <x:c r="O25" s="16" t="str">
        <x:v>0.15، 1.417، 2.734</x:v>
      </x:c>
      <x:c r="P25" s="16" t="str">
        <x:v>غير مثبت؛ تاريخ اسم الملف وطابع ZIP لا يعادلان تاريخ تصوير متحققًا.</x:v>
      </x:c>
      <x:c r="Q25" s="16" t="str">
        <x:v>لا يظهر إصدار موثق في العينات</x:v>
      </x:c>
      <x:c r="R25" s="16" t="str">
        <x:v>تم استخراج ثلاث عينات بصرية من البداية والوسط والنهاية؛ لم يُفحص الفيديو كاملاً ولم يُستمع إلى الصوت ولم يُجرَ اختبار تفاعلي للتطبيق. اسم التطبيق ظاهر لكن رقم الإصدار صغير في العينات ويحتاج قراءة إطار أصلي؛ لا يثبت إطلاق النسخة الحالية أو نجاح وظائفها.</x:v>
      </x:c>
      <x:c r="S25" s="40" t="str">
        <x:v>2bbe8ba1ac7b760e0895f5200cadb0ba2247abb378b87577a76927d1cd356c8c</x:v>
      </x:c>
    </x:row>
    <x:row r="26" ht="36" hidden="0" customHeight="1">
      <x:c r="A26" s="21" t="str">
        <x:v>AVID-14</x:v>
      </x:c>
      <x:c r="B26" s="13" t="str">
        <x:v>تظهر منطقة حائط زرقاء في البداية، وقائمة تطبيقات Quest في الوسط، ثم شاشة فيديو داخل المختبر تعرض Made with Unity في النهاية.</x:v>
      </x:c>
      <x:c r="C26" s="13" t="str">
        <x:v>images_4.zip</x:v>
      </x:c>
      <x:c r="D26" s="13" t="str">
        <x:v>images_4/WhatsApp Video 2026-08-15 at 14.38.28.mp4</x:v>
      </x:c>
      <x:c r="E26" s="45" t="n">
        <x:v>210.604933</x:v>
      </x:c>
      <x:c r="F26" s="27" t="n">
        <x:v>848</x:v>
      </x:c>
      <x:c r="G26" s="27" t="n">
        <x:v>478</x:v>
      </x:c>
      <x:c r="H26" s="27" t="n">
        <x:v>32201164</x:v>
      </x:c>
      <x:c r="I26" s="13" t="str">
        <x:v>h264</x:v>
      </x:c>
      <x:c r="J26" s="13" t="str">
        <x:v>مسار صوت موجود؛ لم يُستمع إلى محتواه</x:v>
      </x:c>
      <x:c r="K26" s="13" t="str">
        <x:v>AVID-14</x:v>
      </x:c>
      <x:c r="L26" s="13" t="str"/>
      <x:c r="M26" s="13" t="str">
        <x:v>evidence/index.html#historical-video؛ appendices/appendix-i/index.html</x:v>
      </x:c>
      <x:c r="N26" s="13" t="str">
        <x:v>assets/videos/avid-14.mp4</x:v>
      </x:c>
      <x:c r="O26" s="13" t="str">
        <x:v>4.212، 105.302، 206.393</x:v>
      </x:c>
      <x:c r="P26" s="13" t="str">
        <x:v>غير مثبت؛ تاريخ اسم الملف وطابع ZIP لا يعادلان تاريخ تصوير متحققًا.</x:v>
      </x:c>
      <x:c r="Q26" s="13" t="str">
        <x:v>لا يظهر إصدار موثق في العينات</x:v>
      </x:c>
      <x:c r="R26" s="13" t="str">
        <x:v>تم استخراج ثلاث عينات بصرية من البداية والوسط والنهاية؛ لم يُفحص الفيديو كاملاً ولم يُستمع إلى الصوت ولم يُجرَ اختبار تفاعلي للتطبيق. العينات متباعدة ولا تكفي لبناء تسلسل سببي بين تحميل التطبيق والقائمة والفيديو؛ لا يُستنتج خطأ أو نجاح كامل منها.</x:v>
      </x:c>
      <x:c r="S26" s="39" t="str">
        <x:v>549ada04c8ff580e929fc35a4dfb620461484ac6aafea13ac2204da973cefca7</x:v>
      </x:c>
    </x:row>
    <x:row r="27" ht="36" hidden="0" customHeight="1">
      <x:c r="A27" s="22" t="str">
        <x:v>AVID-15</x:v>
      </x:c>
      <x:c r="B27" s="16" t="str">
        <x:v>تظهر واجهة SideQuest وصفحات الحساب/المكتبة ثم صفحة Geometry VR Lab وصور التطبيق؛ الملف مطابق بايتًا لملف AVID-11.</x:v>
      </x:c>
      <x:c r="C27" s="16" t="str">
        <x:v>images_4.zip</x:v>
      </x:c>
      <x:c r="D27" s="16" t="str">
        <x:v>images_4/WhatsApp Video 2026-08-15 at 14.38.59.mp4</x:v>
      </x:c>
      <x:c r="E27" s="46" t="n">
        <x:v>86.521211</x:v>
      </x:c>
      <x:c r="F27" s="28" t="n">
        <x:v>848</x:v>
      </x:c>
      <x:c r="G27" s="28" t="n">
        <x:v>478</x:v>
      </x:c>
      <x:c r="H27" s="28" t="n">
        <x:v>18436575</x:v>
      </x:c>
      <x:c r="I27" s="16" t="str">
        <x:v>h264</x:v>
      </x:c>
      <x:c r="J27" s="16" t="str">
        <x:v>مسار صوت موجود؛ لم يُستمع إلى محتواه</x:v>
      </x:c>
      <x:c r="K27" s="16" t="str">
        <x:v>AVID-11</x:v>
      </x:c>
      <x:c r="L27" s="16" t="str">
        <x:v>AVID-11</x:v>
      </x:c>
      <x:c r="M27" s="16" t="str">
        <x:v>evidence/index.html#historical-video؛ appendices/appendix-i/index.html</x:v>
      </x:c>
      <x:c r="N27" s="16" t="str">
        <x:v>assets/videos/avid-11.mp4</x:v>
      </x:c>
      <x:c r="O27" s="16" t="str">
        <x:v>1.73، 43.261، 84.791</x:v>
      </x:c>
      <x:c r="P27" s="16" t="str">
        <x:v>غير مثبت؛ تاريخ اسم الملف وطابع ZIP لا يعادلان تاريخ تصوير متحققًا.</x:v>
      </x:c>
      <x:c r="Q27" s="16" t="str">
        <x:v>لا يظهر إصدار موثق في العينات</x:v>
      </x:c>
      <x:c r="R27" s="16" t="str">
        <x:v>تم استخراج ثلاث عينات بصرية من البداية والوسط والنهاية؛ لم يُفحص الفيديو كاملاً ولم يُستمع إلى الصوت ولم يُجرَ اختبار تفاعلي للتطبيق. نسخة متطابقة SHA-256؛ حدود الدليل هي حدود AVID-11 نفسها، ولا تمثل اختبارًا مستقلًا ثانيًا.</x:v>
      </x:c>
      <x:c r="S27" s="40" t="str">
        <x:v>e3a1435aa379c44e7a7a6a19df3ad16144e7492eb18acac8c3c49eafbd00538f</x:v>
      </x:c>
    </x:row>
    <x:row r="28" ht="24" hidden="0" customHeight="1">
      <x:c r="A28" s="21" t="str">
        <x:v>AVID-16</x:v>
      </x:c>
      <x:c r="B28" s="13" t="str">
        <x:v>تظهر إعدادات Quest لتطبيق Geometry VR Lab وInstalled version information وخيار Release channels ورسالة عدم وجود أذونات.</x:v>
      </x:c>
      <x:c r="C28" s="13" t="str">
        <x:v>images_4.zip</x:v>
      </x:c>
      <x:c r="D28" s="13" t="str">
        <x:v>images_4/WhatsApp Video 2026-08-15 at 15.44.31.mp4</x:v>
      </x:c>
      <x:c r="E28" s="45" t="n">
        <x:v>4.571375</x:v>
      </x:c>
      <x:c r="F28" s="27" t="n">
        <x:v>848</x:v>
      </x:c>
      <x:c r="G28" s="27" t="n">
        <x:v>478</x:v>
      </x:c>
      <x:c r="H28" s="27" t="n">
        <x:v>829475</x:v>
      </x:c>
      <x:c r="I28" s="13" t="str">
        <x:v>h264</x:v>
      </x:c>
      <x:c r="J28" s="13" t="str">
        <x:v>مسار صوت موجود؛ لم يُستمع إلى محتواه</x:v>
      </x:c>
      <x:c r="K28" s="13" t="str">
        <x:v>AVID-16</x:v>
      </x:c>
      <x:c r="L28" s="13" t="str"/>
      <x:c r="M28" s="13" t="str">
        <x:v>evidence/index.html#historical-video؛ appendices/appendix-i/index.html</x:v>
      </x:c>
      <x:c r="N28" s="13" t="str">
        <x:v>assets/videos/avid-16.mp4</x:v>
      </x:c>
      <x:c r="O28" s="13" t="str">
        <x:v>0.15، 2.286، 4.471</x:v>
      </x:c>
      <x:c r="P28" s="13" t="str">
        <x:v>غير مثبت؛ تاريخ اسم الملف وطابع ZIP لا يعادلان تاريخ تصوير متحققًا.</x:v>
      </x:c>
      <x:c r="Q28" s="13" t="str">
        <x:v>لا يظهر إصدار موثق في العينات</x:v>
      </x:c>
      <x:c r="R28" s="13" t="str">
        <x:v>تم استخراج ثلاث عينات بصرية من البداية والوسط والنهاية؛ لم يُفحص الفيديو كاملاً ولم يُستمع إلى الصوت ولم يُجرَ اختبار تفاعلي للتطبيق. العينات لا تؤكد رقم النسخة المقروء أو نجاح تشغيلها؛ المقطع قصير ويعرض الإعدادات فقط.</x:v>
      </x:c>
      <x:c r="S28" s="39" t="str">
        <x:v>ba16d509a047deefe74a16966c43bf7886f301c375135a19f9100f609bb05118</x:v>
      </x:c>
    </x:row>
    <x:row r="29" ht="24" hidden="0" customHeight="1">
      <x:c r="A29" s="23" t="str">
        <x:v>AVID-17</x:v>
      </x:c>
      <x:c r="B29" s="19" t="str">
        <x:v>تظهر بيئة التحميل البنفسجية ومؤشر ثلاث نقاط في عينتي البداية والوسط، ثم قائمة تطبيقات Quest وبها Geometry VR Lab في النهاية.</x:v>
      </x:c>
      <x:c r="C29" s="19" t="str">
        <x:v>images_4.zip</x:v>
      </x:c>
      <x:c r="D29" s="19" t="str">
        <x:v>images_4/WhatsApp Video 2026-08-15 at 15.45.05.mp4</x:v>
      </x:c>
      <x:c r="E29" s="47" t="n">
        <x:v>136.892856</x:v>
      </x:c>
      <x:c r="F29" s="29" t="n">
        <x:v>848</x:v>
      </x:c>
      <x:c r="G29" s="29" t="n">
        <x:v>478</x:v>
      </x:c>
      <x:c r="H29" s="29" t="n">
        <x:v>15772438</x:v>
      </x:c>
      <x:c r="I29" s="19" t="str">
        <x:v>h264</x:v>
      </x:c>
      <x:c r="J29" s="19" t="str">
        <x:v>مسار صوت موجود؛ لم يُستمع إلى محتواه</x:v>
      </x:c>
      <x:c r="K29" s="19" t="str">
        <x:v>AVID-17</x:v>
      </x:c>
      <x:c r="L29" s="19" t="str"/>
      <x:c r="M29" s="19" t="str">
        <x:v>evidence/index.html#historical-video؛ appendices/appendix-i/index.html</x:v>
      </x:c>
      <x:c r="N29" s="19" t="str">
        <x:v>assets/videos/avid-17.mp4</x:v>
      </x:c>
      <x:c r="O29" s="19" t="str">
        <x:v>2.738، 68.446، 134.155</x:v>
      </x:c>
      <x:c r="P29" s="19" t="str">
        <x:v>غير مثبت؛ تاريخ اسم الملف وطابع ZIP لا يعادلان تاريخ تصوير متحققًا.</x:v>
      </x:c>
      <x:c r="Q29" s="19" t="str">
        <x:v>لا يظهر إصدار موثق في العينات</x:v>
      </x:c>
      <x:c r="R29" s="19" t="str">
        <x:v>تم استخراج ثلاث عينات بصرية من البداية والوسط والنهاية؛ لم يُفحص الفيديو كاملاً ولم يُستمع إلى الصوت ولم يُجرَ اختبار تفاعلي للتطبيق. لا تظهر بيئة المختبر في العينات؛ لا يمكن الجزم بفشل التشغيل أو سببه من العينات فقط.</x:v>
      </x:c>
      <x:c r="S29" s="49" t="str">
        <x:v>5656eb18480f39a2da1984b6c8ebfeaffeba89e65b2b9b618878b9fcbebf6b16</x:v>
      </x:c>
    </x:row>
  </x:sheetData>
  <x:mergeCells>
    <x:mergeCell ref="A1:E1"/>
    <x:mergeCell ref="A2:E2"/>
    <x:mergeCell ref="A3:E3"/>
  </x:mergeCells>
  <x:pageMargins left="0.7" right="0.7" top="0.75" bottom="0.75" header="0.3" footer="0.3"/>
  <x:tableParts count="1">
    <x:tablePart xmlns:r="http://schemas.openxmlformats.org/officeDocument/2006/relationships" r:id="Read85309f4914d60"/>
  </x:tableParts>
</x:worksheet>
</file>

<file path=xl/worksheets/sheet6.xml><?xml version="1.0" encoding="utf-8"?>
<x:worksheet xmlns:x="http://schemas.openxmlformats.org/spreadsheetml/2006/main">
  <x:sheetPr>
    <x:tabColor rgb="FF23364D"/>
  </x:sheetPr>
  <x:sheetViews>
    <x:sheetView showGridLines="0" workbookViewId="0">
      <x:pane xSplit="1" ySplit="5" topLeftCell="B6" activePane="bottomRight" state="frozen"/>
    </x:sheetView>
  </x:sheetViews>
  <x:sheetFormatPr defaultRowHeight="15"/>
  <x:cols>
    <x:col min="1" max="1" width="11.670000076293945" hidden="0" customWidth="1"/>
    <x:col min="2" max="2" width="58.33000183105469" hidden="0" customWidth="1"/>
    <x:col min="3" max="3" width="23.889999389648438" hidden="0" customWidth="1"/>
    <x:col min="4" max="4" width="36.66999816894531" hidden="0" customWidth="1"/>
    <x:col min="5" max="5" width="15.5600004196167" hidden="0" customWidth="1"/>
    <x:col min="6" max="6" width="24.440000534057617" hidden="0" customWidth="1"/>
    <x:col min="7" max="7" width="12.220000267028809" hidden="0" customWidth="1"/>
    <x:col min="8" max="8" width="12.220000267028809" hidden="0" customWidth="1"/>
    <x:col min="9" max="9" width="53.88999938964844" hidden="0" customWidth="1"/>
    <x:col min="10" max="10" width="60" hidden="0" customWidth="1"/>
    <x:col min="11" max="11" width="68.88999938964844" hidden="0" customWidth="1"/>
    <x:col min="12" max="12" width="57.779998779296875" hidden="0" customWidth="1"/>
  </x:cols>
  <x:sheetData>
    <x:row r="1" ht="34" customHeight="1">
      <x:c r="A1" s="5" t="str">
        <x:v>الملفات — مختبر الهندسة بالواقع الافتراضي</x:v>
      </x:c>
      <x:c r="B1" s="5"/>
      <x:c r="C1" s="5"/>
      <x:c r="D1" s="5"/>
      <x:c r="E1" s="5"/>
      <x:c r="F1" s="4"/>
      <x:c r="G1" s="4"/>
      <x:c r="H1" s="4"/>
      <x:c r="I1" s="4"/>
      <x:c r="J1" s="4"/>
      <x:c r="K1" s="4"/>
      <x:c r="L1" s="4"/>
    </x:row>
    <x:row r="2" ht="35" customHeight="1">
      <x:c r="A2" s="4" t="str">
        <x:v>المسارات مقترحة داخل الموقع؛ السجل يحتفظ بالأصل والتكرارات وملاحظات الاستكمال.</x:v>
      </x:c>
      <x:c r="B2" s="4"/>
      <x:c r="C2" s="4"/>
      <x:c r="D2" s="4"/>
      <x:c r="E2" s="4"/>
      <x:c r="F2" s="4"/>
      <x:c r="G2" s="4"/>
      <x:c r="H2" s="4"/>
      <x:c r="I2" s="4"/>
      <x:c r="J2" s="4"/>
      <x:c r="K2" s="4"/>
      <x:c r="L2" s="4"/>
    </x:row>
    <x:row r="3" ht="30" customHeight="1">
      <x:c r="A3" s="4" t="str">
        <x:v>تاريخ الجرد: 2026-10-04. تُترك البيانات غير المعروفة صريحة دون استنتاج الإصدار من اسم الملف.</x:v>
      </x:c>
      <x:c r="B3" s="4"/>
      <x:c r="C3" s="4"/>
      <x:c r="D3" s="4"/>
      <x:c r="E3" s="4"/>
      <x:c r="F3" s="4"/>
      <x:c r="G3" s="4"/>
      <x:c r="H3" s="4"/>
      <x:c r="I3" s="4"/>
      <x:c r="J3" s="4"/>
      <x:c r="K3" s="4"/>
      <x:c r="L3" s="4"/>
    </x:row>
    <x:row r="4">
      <x:c r="A4" s="4"/>
      <x:c r="B4" s="4"/>
      <x:c r="C4" s="4"/>
      <x:c r="D4" s="4"/>
      <x:c r="E4" s="4"/>
      <x:c r="F4" s="4"/>
      <x:c r="G4" s="4"/>
      <x:c r="H4" s="4"/>
      <x:c r="I4" s="4"/>
      <x:c r="J4" s="4"/>
      <x:c r="K4" s="4"/>
      <x:c r="L4" s="4"/>
    </x:row>
    <x:row r="5" ht="38" customHeight="1">
      <x:c r="A5" s="9" t="str">
        <x:v>المعرف</x:v>
      </x:c>
      <x:c r="B5" s="10" t="str">
        <x:v>الملف أو المرجع</x:v>
      </x:c>
      <x:c r="C5" s="10" t="str">
        <x:v>النوع</x:v>
      </x:c>
      <x:c r="D5" s="10" t="str">
        <x:v>التوفر</x:v>
      </x:c>
      <x:c r="E5" s="10" t="str">
        <x:v>الحجم بايت</x:v>
      </x:c>
      <x:c r="F5" s="10" t="str">
        <x:v>أعضاء غير مجلدات أو كتل DOCX</x:v>
      </x:c>
      <x:c r="G5" s="10" t="str">
        <x:v>عدد الصور</x:v>
      </x:c>
      <x:c r="H5" s="10" t="str">
        <x:v>عدد الفيديو</x:v>
      </x:c>
      <x:c r="I5" s="10" t="str">
        <x:v>الموضع أو طريقة الحفظ</x:v>
      </x:c>
      <x:c r="J5" s="10" t="str">
        <x:v>ملاحظات</x:v>
      </x:c>
      <x:c r="K5" s="10" t="str">
        <x:v>URL المصدر</x:v>
      </x:c>
      <x:c r="L5" s="11" t="str">
        <x:v>SHA-256</x:v>
      </x:c>
    </x:row>
    <x:row r="6" ht="24" hidden="0" customHeight="1">
      <x:c r="A6" s="21" t="str">
        <x:v>FILE-001</x:v>
      </x:c>
      <x:c r="B6" s="13" t="str">
        <x:v>01_Onboarding_Practice(1).mp4</x:v>
      </x:c>
      <x:c r="C6" s="13" t="str">
        <x:v>فيديو مباشر</x:v>
      </x:c>
      <x:c r="D6" s="13" t="str">
        <x:v>مرفق محلي متاح</x:v>
      </x:c>
      <x:c r="E6" s="27" t="n">
        <x:v>14691154</x:v>
      </x:c>
      <x:c r="F6" s="27" t="n">
        <x:v>0</x:v>
      </x:c>
      <x:c r="G6" s="27" t="n">
        <x:v>0</x:v>
      </x:c>
      <x:c r="H6" s="27" t="n">
        <x:v>0</x:v>
      </x:c>
      <x:c r="I6" s="13" t="str">
        <x:v>development/index.html#before-merge؛ chapters/chapter-03/index.html#section-3-9-1</x:v>
      </x:c>
      <x:c r="J6" s="13" t="str">
        <x:v>بيانات الإصدار والتاريخ بحسب ما يمكن إثباته</x:v>
      </x:c>
      <x:c r="K6" s="13" t="str"/>
      <x:c r="L6" s="39" t="str">
        <x:v>0ea1324a496346c9ca2c3dee13d6c666fca359d0a07870a85c4def9c1c61638d</x:v>
      </x:c>
    </x:row>
    <x:row r="7" ht="24" hidden="0" customHeight="1">
      <x:c r="A7" s="22" t="str">
        <x:v>FILE-002</x:v>
      </x:c>
      <x:c r="B7" s="16" t="str">
        <x:v>02_3D_Solids_Lab(1).mp4</x:v>
      </x:c>
      <x:c r="C7" s="16" t="str">
        <x:v>فيديو مباشر</x:v>
      </x:c>
      <x:c r="D7" s="16" t="str">
        <x:v>مرفق محلي متاح</x:v>
      </x:c>
      <x:c r="E7" s="28" t="n">
        <x:v>6487712</x:v>
      </x:c>
      <x:c r="F7" s="28" t="n">
        <x:v>0</x:v>
      </x:c>
      <x:c r="G7" s="28" t="n">
        <x:v>0</x:v>
      </x:c>
      <x:c r="H7" s="28" t="n">
        <x:v>0</x:v>
      </x:c>
      <x:c r="I7" s="16" t="str">
        <x:v>evidence/index.html#solids؛ chapters/chapter-04/index.html#section-4-5</x:v>
      </x:c>
      <x:c r="J7" s="16" t="str">
        <x:v>بيانات الإصدار والتاريخ بحسب ما يمكن إثباته</x:v>
      </x:c>
      <x:c r="K7" s="16" t="str"/>
      <x:c r="L7" s="40" t="str">
        <x:v>6ca8980aeb493ee05036caf358be1299b4f95fe81a5112e134e98411dd9885ff</x:v>
      </x:c>
    </x:row>
    <x:row r="8" ht="24" hidden="0" customHeight="1">
      <x:c r="A8" s="21" t="str">
        <x:v>FILE-003</x:v>
      </x:c>
      <x:c r="B8" s="13" t="str">
        <x:v>03_Tribute_Panel(1).mp4</x:v>
      </x:c>
      <x:c r="C8" s="13" t="str">
        <x:v>فيديو مباشر</x:v>
      </x:c>
      <x:c r="D8" s="13" t="str">
        <x:v>مرفق محلي متاح</x:v>
      </x:c>
      <x:c r="E8" s="27" t="n">
        <x:v>2301225</x:v>
      </x:c>
      <x:c r="F8" s="27" t="n">
        <x:v>0</x:v>
      </x:c>
      <x:c r="G8" s="27" t="n">
        <x:v>0</x:v>
      </x:c>
      <x:c r="H8" s="27" t="n">
        <x:v>0</x:v>
      </x:c>
      <x:c r="I8" s="13" t="str">
        <x:v>about/index.html#acknowledgements</x:v>
      </x:c>
      <x:c r="J8" s="13" t="str">
        <x:v>بيانات الإصدار والتاريخ بحسب ما يمكن إثباته</x:v>
      </x:c>
      <x:c r="K8" s="13" t="str"/>
      <x:c r="L8" s="39" t="str">
        <x:v>c9572e9d55e0a420b6f5c438247a6acf5d3ae0c921657e9788b0755de94fe4e9</x:v>
      </x:c>
    </x:row>
    <x:row r="9" ht="24" hidden="0" customHeight="1">
      <x:c r="A9" s="22" t="str">
        <x:v>FILE-004</x:v>
      </x:c>
      <x:c r="B9" s="16" t="str">
        <x:v>04_Geometric_Transformations(1).mp4</x:v>
      </x:c>
      <x:c r="C9" s="16" t="str">
        <x:v>فيديو مباشر</x:v>
      </x:c>
      <x:c r="D9" s="16" t="str">
        <x:v>مرفق محلي متاح</x:v>
      </x:c>
      <x:c r="E9" s="28" t="n">
        <x:v>29583925</x:v>
      </x:c>
      <x:c r="F9" s="28" t="n">
        <x:v>0</x:v>
      </x:c>
      <x:c r="G9" s="28" t="n">
        <x:v>0</x:v>
      </x:c>
      <x:c r="H9" s="28" t="n">
        <x:v>0</x:v>
      </x:c>
      <x:c r="I9" s="16" t="str">
        <x:v>chapters/chapter-03/index.html#section-3-9-3؛ evidence/index.html#transformations</x:v>
      </x:c>
      <x:c r="J9" s="16" t="str">
        <x:v>بيانات الإصدار والتاريخ بحسب ما يمكن إثباته</x:v>
      </x:c>
      <x:c r="K9" s="16" t="str"/>
      <x:c r="L9" s="40" t="str">
        <x:v>b9815cb380e7d334cea8874d48b7e7d323f12fcdb60ae5ada932602d81420994</x:v>
      </x:c>
    </x:row>
    <x:row r="10" ht="24" hidden="0" customHeight="1">
      <x:c r="A10" s="21" t="str">
        <x:v>FILE-005</x:v>
      </x:c>
      <x:c r="B10" s="13" t="str">
        <x:v>05_Transformation_Challenges(1).mp4</x:v>
      </x:c>
      <x:c r="C10" s="13" t="str">
        <x:v>فيديو مباشر</x:v>
      </x:c>
      <x:c r="D10" s="13" t="str">
        <x:v>مرفق محلي متاح</x:v>
      </x:c>
      <x:c r="E10" s="27" t="n">
        <x:v>31571613</x:v>
      </x:c>
      <x:c r="F10" s="27" t="n">
        <x:v>0</x:v>
      </x:c>
      <x:c r="G10" s="27" t="n">
        <x:v>0</x:v>
      </x:c>
      <x:c r="H10" s="27" t="n">
        <x:v>0</x:v>
      </x:c>
      <x:c r="I10" s="13" t="str">
        <x:v>chapters/chapter-03/index.html#section-3-9-3؛ evidence/index.html#transformations</x:v>
      </x:c>
      <x:c r="J10" s="13" t="str">
        <x:v>بيانات الإصدار والتاريخ بحسب ما يمكن إثباته</x:v>
      </x:c>
      <x:c r="K10" s="13" t="str"/>
      <x:c r="L10" s="39" t="str">
        <x:v>c4ae3f363c16ae28627caa99a3512d1f9feb717570e31fc83c975e8dec578c5c</x:v>
      </x:c>
    </x:row>
    <x:row r="11" ht="24" hidden="0" customHeight="1">
      <x:c r="A11" s="22" t="str">
        <x:v>FILE-006</x:v>
      </x:c>
      <x:c r="B11" s="16" t="str">
        <x:v>06_Cross_Sections_Experiment(1).mp4</x:v>
      </x:c>
      <x:c r="C11" s="16" t="str">
        <x:v>فيديو مباشر</x:v>
      </x:c>
      <x:c r="D11" s="16" t="str">
        <x:v>مرفق محلي متاح</x:v>
      </x:c>
      <x:c r="E11" s="28" t="n">
        <x:v>15479881</x:v>
      </x:c>
      <x:c r="F11" s="28" t="n">
        <x:v>0</x:v>
      </x:c>
      <x:c r="G11" s="28" t="n">
        <x:v>0</x:v>
      </x:c>
      <x:c r="H11" s="28" t="n">
        <x:v>0</x:v>
      </x:c>
      <x:c r="I11" s="16" t="str">
        <x:v>chapters/chapter-03/index.html#cross-sections؛ evidence/index.html#cross-sections</x:v>
      </x:c>
      <x:c r="J11" s="16" t="str">
        <x:v>بيانات الإصدار والتاريخ بحسب ما يمكن إثباته</x:v>
      </x:c>
      <x:c r="K11" s="16" t="str"/>
      <x:c r="L11" s="40" t="str">
        <x:v>98e4e1beab1a1d5df6fac4070503c5efcac5852be1e8983d8f11ef5ca265e33c</x:v>
      </x:c>
    </x:row>
    <x:row r="12" ht="24" hidden="0" customHeight="1">
      <x:c r="A12" s="21" t="str">
        <x:v>FILE-007</x:v>
      </x:c>
      <x:c r="B12" s="13" t="str">
        <x:v>07_Cross_Sections_Learning_Center(1).mp4</x:v>
      </x:c>
      <x:c r="C12" s="13" t="str">
        <x:v>فيديو مباشر</x:v>
      </x:c>
      <x:c r="D12" s="13" t="str">
        <x:v>مرفق محلي متاح</x:v>
      </x:c>
      <x:c r="E12" s="27" t="n">
        <x:v>19802750</x:v>
      </x:c>
      <x:c r="F12" s="27" t="n">
        <x:v>0</x:v>
      </x:c>
      <x:c r="G12" s="27" t="n">
        <x:v>0</x:v>
      </x:c>
      <x:c r="H12" s="27" t="n">
        <x:v>0</x:v>
      </x:c>
      <x:c r="I12" s="13" t="str">
        <x:v>chapters/chapter-03/index.html#cross-sections؛ evidence/index.html#cross-sections</x:v>
      </x:c>
      <x:c r="J12" s="13" t="str">
        <x:v>بيانات الإصدار والتاريخ بحسب ما يمكن إثباته</x:v>
      </x:c>
      <x:c r="K12" s="13" t="str"/>
      <x:c r="L12" s="39" t="str">
        <x:v>47516628a6259c730739845b0748cb8760c91826006901f2061d965d4c60bb52</x:v>
      </x:c>
    </x:row>
    <x:row r="13" ht="15" hidden="0" customHeight="1">
      <x:c r="A13" s="22" t="str">
        <x:v>FILE-008</x:v>
      </x:c>
      <x:c r="B13" s="16" t="str">
        <x:v>Pasted markdown(1).md</x:v>
      </x:c>
      <x:c r="C13" s="16" t="str">
        <x:v>خطة الدمج</x:v>
      </x:c>
      <x:c r="D13" s="16" t="str">
        <x:v>مرفق محلي متاح</x:v>
      </x:c>
      <x:c r="E13" s="28" t="n">
        <x:v>21776</x:v>
      </x:c>
      <x:c r="F13" s="28" t="n">
        <x:v>0</x:v>
      </x:c>
      <x:c r="G13" s="28" t="n">
        <x:v>0</x:v>
      </x:c>
      <x:c r="H13" s="28" t="n">
        <x:v>0</x:v>
      </x:c>
      <x:c r="I13" s="16" t="str">
        <x:v>appendices/appendix-j/index.html#merge-plan</x:v>
      </x:c>
      <x:c r="J13" s="16" t="str">
        <x:v>بيانات الإصدار والتاريخ بحسب ما يمكن إثباته</x:v>
      </x:c>
      <x:c r="K13" s="16" t="str"/>
      <x:c r="L13" s="40" t="str">
        <x:v>ecf446dad6c31ee5a9fb0c7c55e3efcb2d47f19cc458d295532dbfb6ee0fe23c</x:v>
      </x:c>
    </x:row>
    <x:row r="14" ht="24" hidden="0" customHeight="1">
      <x:c r="A14" s="21" t="str">
        <x:v>FILE-009</x:v>
      </x:c>
      <x:c r="B14" s="13" t="str">
        <x:v>image(20261003-234809).png</x:v>
      </x:c>
      <x:c r="C14" s="13" t="str">
        <x:v>لقطة مستودع</x:v>
      </x:c>
      <x:c r="D14" s="13" t="str">
        <x:v>مرفق محلي متاح</x:v>
      </x:c>
      <x:c r="E14" s="27" t="n">
        <x:v>792034</x:v>
      </x:c>
      <x:c r="F14" s="27" t="n">
        <x:v>0</x:v>
      </x:c>
      <x:c r="G14" s="27" t="n">
        <x:v>0</x:v>
      </x:c>
      <x:c r="H14" s="27" t="n">
        <x:v>0</x:v>
      </x:c>
      <x:c r="I14" s="13" t="str">
        <x:v>development/index.html#repository</x:v>
      </x:c>
      <x:c r="J14" s="13" t="str">
        <x:v>بيانات الإصدار والتاريخ بحسب ما يمكن إثباته</x:v>
      </x:c>
      <x:c r="K14" s="13" t="str"/>
      <x:c r="L14" s="39" t="str">
        <x:v>73894d7c36d29ad24a37b2c82b4bf3e514941038419e2250bb857960f46dd901</x:v>
      </x:c>
    </x:row>
    <x:row r="15" ht="24" hidden="0" customHeight="1">
      <x:c r="A15" s="22" t="str">
        <x:v>FILE-010</x:v>
      </x:c>
      <x:c r="B15" s="16" t="str">
        <x:v>images.zip</x:v>
      </x:c>
      <x:c r="C15" s="16" t="str">
        <x:v>أرشيف وسائط</x:v>
      </x:c>
      <x:c r="D15" s="16" t="str">
        <x:v>مرفق محلي متاح</x:v>
      </x:c>
      <x:c r="E15" s="28" t="n">
        <x:v>145720879</x:v>
      </x:c>
      <x:c r="F15" s="28" t="n">
        <x:v>109</x:v>
      </x:c>
      <x:c r="G15" s="28" t="n">
        <x:v>101</x:v>
      </x:c>
      <x:c r="H15" s="28" t="n">
        <x:v>8</x:v>
      </x:c>
      <x:c r="I15" s="16" t="str">
        <x:v>يحفظ الأصل؛ تنشر المواد المختارة المسجلة</x:v>
      </x:c>
      <x:c r="J15" s="16" t="str">
        <x:v>محتويات الأرشيف مفهرسة دون إسقاط التكرارات</x:v>
      </x:c>
      <x:c r="K15" s="16" t="str"/>
      <x:c r="L15" s="40" t="str">
        <x:v>ce6b8c26f5e7d06daa9fe1ef387750345544715e85621916557ddf8a2c04b6ad</x:v>
      </x:c>
    </x:row>
    <x:row r="16" ht="24" hidden="0" customHeight="1">
      <x:c r="A16" s="21" t="str">
        <x:v>FILE-011</x:v>
      </x:c>
      <x:c r="B16" s="13" t="str">
        <x:v>images_4.zip</x:v>
      </x:c>
      <x:c r="C16" s="13" t="str">
        <x:v>أرشيف وسائط</x:v>
      </x:c>
      <x:c r="D16" s="13" t="str">
        <x:v>مرفق محلي متاح</x:v>
      </x:c>
      <x:c r="E16" s="27" t="n">
        <x:v>247809198</x:v>
      </x:c>
      <x:c r="F16" s="27" t="n">
        <x:v>24</x:v>
      </x:c>
      <x:c r="G16" s="27" t="n">
        <x:v>15</x:v>
      </x:c>
      <x:c r="H16" s="27" t="n">
        <x:v>9</x:v>
      </x:c>
      <x:c r="I16" s="13" t="str">
        <x:v>يحفظ الأصل؛ تنشر المواد المختارة المسجلة</x:v>
      </x:c>
      <x:c r="J16" s="13" t="str">
        <x:v>محتويات الأرشيف مفهرسة دون إسقاط التكرارات</x:v>
      </x:c>
      <x:c r="K16" s="13" t="str"/>
      <x:c r="L16" s="39" t="str">
        <x:v>b64650839dac16bda64f0172f3160a9369e943abb68d877f4683fe1dea0dde05</x:v>
      </x:c>
    </x:row>
    <x:row r="17" ht="24" hidden="0" customHeight="1">
      <x:c r="A17" s="22" t="str">
        <x:v>FILE-012</x:v>
      </x:c>
      <x:c r="B17" s="16" t="str">
        <x:v>images_5.zip</x:v>
      </x:c>
      <x:c r="C17" s="16" t="str">
        <x:v>أرشيف وسائط</x:v>
      </x:c>
      <x:c r="D17" s="16" t="str">
        <x:v>مرفق محلي متاح</x:v>
      </x:c>
      <x:c r="E17" s="28" t="n">
        <x:v>3374359</x:v>
      </x:c>
      <x:c r="F17" s="28" t="n">
        <x:v>26</x:v>
      </x:c>
      <x:c r="G17" s="28" t="n">
        <x:v>26</x:v>
      </x:c>
      <x:c r="H17" s="28" t="n">
        <x:v>0</x:v>
      </x:c>
      <x:c r="I17" s="16" t="str">
        <x:v>يحفظ الأصل؛ تنشر المواد المختارة المسجلة</x:v>
      </x:c>
      <x:c r="J17" s="16" t="str">
        <x:v>محتويات الأرشيف مفهرسة دون إسقاط التكرارات</x:v>
      </x:c>
      <x:c r="K17" s="16" t="str"/>
      <x:c r="L17" s="40" t="str">
        <x:v>b74251f11812d61c1069c81892abce0acbfdda7a1cc403803877c965f99e46d6</x:v>
      </x:c>
    </x:row>
    <x:row r="18" ht="15" hidden="0" customHeight="1">
      <x:c r="A18" s="21" t="str">
        <x:v>FILE-013</x:v>
      </x:c>
      <x:c r="B18" s="13" t="str">
        <x:v>images_6.zip</x:v>
      </x:c>
      <x:c r="C18" s="13" t="str">
        <x:v>أرشيف وسائط</x:v>
      </x:c>
      <x:c r="D18" s="13" t="str">
        <x:v>مرفق محلي متاح</x:v>
      </x:c>
      <x:c r="E18" s="27" t="n">
        <x:v>16902538</x:v>
      </x:c>
      <x:c r="F18" s="27" t="n">
        <x:v>12</x:v>
      </x:c>
      <x:c r="G18" s="27" t="n">
        <x:v>12</x:v>
      </x:c>
      <x:c r="H18" s="27" t="n">
        <x:v>0</x:v>
      </x:c>
      <x:c r="I18" s="13" t="str">
        <x:v>يحفظ الأصل؛ تنشر المواد المختارة المسجلة</x:v>
      </x:c>
      <x:c r="J18" s="13" t="str">
        <x:v>محتويات الأرشيف مفهرسة دون إسقاط التكرارات</x:v>
      </x:c>
      <x:c r="K18" s="13" t="str"/>
      <x:c r="L18" s="39" t="str">
        <x:v>911bf2ccee3733640a94e9daa9fa2e1f078333d4ccf86860e8657f9fe7bbadd0</x:v>
      </x:c>
    </x:row>
    <x:row r="19" ht="24" hidden="0" customHeight="1">
      <x:c r="A19" s="22" t="str">
        <x:v>FILE-014</x:v>
      </x:c>
      <x:c r="B19" s="16" t="str">
        <x:v>images_7.zip</x:v>
      </x:c>
      <x:c r="C19" s="16" t="str">
        <x:v>أرشيف وسائط</x:v>
      </x:c>
      <x:c r="D19" s="16" t="str">
        <x:v>مرفق محلي متاح</x:v>
      </x:c>
      <x:c r="E19" s="28" t="n">
        <x:v>469765</x:v>
      </x:c>
      <x:c r="F19" s="28" t="n">
        <x:v>5</x:v>
      </x:c>
      <x:c r="G19" s="28" t="n">
        <x:v>5</x:v>
      </x:c>
      <x:c r="H19" s="28" t="n">
        <x:v>0</x:v>
      </x:c>
      <x:c r="I19" s="16" t="str">
        <x:v>يحفظ الأصل؛ تنشر المواد المختارة المسجلة</x:v>
      </x:c>
      <x:c r="J19" s="16" t="str">
        <x:v>محتويات الأرشيف مفهرسة دون إسقاط التكرارات</x:v>
      </x:c>
      <x:c r="K19" s="16" t="str"/>
      <x:c r="L19" s="40" t="str">
        <x:v>6114229f75e889226615162d39b094ff45ba5b241a3c4c2542a61df9a432d113</x:v>
      </x:c>
    </x:row>
    <x:row r="20" ht="24" hidden="0" customHeight="1">
      <x:c r="A20" s="21" t="str">
        <x:v>FILE-015</x:v>
      </x:c>
      <x:c r="B20" s="13" t="str">
        <x:v>بحث_تطوير_بيئة_الواقع_الافتراضي_للهندسة_الفراغية_2026_محدث_بالإرشاد_الصوتي (1).docx</x:v>
      </x:c>
      <x:c r="C20" s="13" t="str">
        <x:v>البحث المرفق</x:v>
      </x:c>
      <x:c r="D20" s="13" t="str">
        <x:v>مرفق محلي متاح</x:v>
      </x:c>
      <x:c r="E20" s="27" t="n">
        <x:v>6490916</x:v>
      </x:c>
      <x:c r="F20" s="27" t="n">
        <x:v>508</x:v>
      </x:c>
      <x:c r="G20" s="27" t="n">
        <x:v>9</x:v>
      </x:c>
      <x:c r="H20" s="27" t="n">
        <x:v>0</x:v>
      </x:c>
      <x:c r="I20" s="13" t="str">
        <x:v>downloads/research-source.docx بعد تحديد هويته وتاريخ نسخته</x:v>
      </x:c>
      <x:c r="J20" s="13" t="str">
        <x:v>المصدر الأصلي محفوظ دون تغيير؛ عدد الصور في DOCX يشمل الوسائط المضمنة</x:v>
      </x:c>
      <x:c r="K20" s="13" t="str"/>
      <x:c r="L20" s="39" t="str">
        <x:v>148b36400789bc522c583a8756f916d35dba21f1069b3ddc0e2836ad0e6b5974</x:v>
      </x:c>
    </x:row>
    <x:row r="21" ht="15" hidden="0" customHeight="1">
      <x:c r="A21" s="22" t="str">
        <x:v>FILE-016</x:v>
      </x:c>
      <x:c r="B21" s="16" t="str">
        <x:v>صفحة تعريف التطبيق</x:v>
      </x:c>
      <x:c r="C21" s="16" t="str">
        <x:v>مرجع التطبيق الحالي</x:v>
      </x:c>
      <x:c r="D21" s="16" t="str">
        <x:v>مرجع مرتبط؛ ليس مرفقًا محليًا</x:v>
      </x:c>
      <x:c r="E21" s="28"/>
      <x:c r="F21" s="28"/>
      <x:c r="G21" s="28"/>
      <x:c r="H21" s="28"/>
      <x:c r="I21" s="16" t="str">
        <x:v>index.html#application</x:v>
      </x:c>
      <x:c r="J21" s="16" t="str">
        <x:v>تعرض الصفحة 1.3.0؛ لا يُنسب إليه اختبار الدمج تلقائيًا</x:v>
      </x:c>
      <x:c r="K21" s="16" t="str">
        <x:v>https://zuhdizahdeh.github.io/math-apps/geometry-vr-lab/index.html</x:v>
      </x:c>
      <x:c r="L21" s="40" t="str"/>
    </x:row>
    <x:row r="22" ht="15" hidden="0" customHeight="1">
      <x:c r="A22" s="21" t="str">
        <x:v>FILE-017</x:v>
      </x:c>
      <x:c r="B22" s="13" t="str">
        <x:v>مستودع التطبيق Unity</x:v>
      </x:c>
      <x:c r="C22" s="13" t="str">
        <x:v>مرجع شفرة خاص</x:v>
      </x:c>
      <x:c r="D22" s="13" t="str">
        <x:v>مرجع مرتبط؛ ليس مرفقًا محليًا</x:v>
      </x:c>
      <x:c r="E22" s="27"/>
      <x:c r="F22" s="27"/>
      <x:c r="G22" s="27"/>
      <x:c r="H22" s="27"/>
      <x:c r="I22" s="13" t="str">
        <x:v>development/index.html#repository</x:v>
      </x:c>
      <x:c r="J22" s="13" t="str">
        <x:v>رابط المستودع الخاص لا يكفي لإتاحة الدليل للقارئ العام</x:v>
      </x:c>
      <x:c r="K22" s="13" t="str">
        <x:v>https://github.com/ZuhdiZahdeh/GeometryVRLab_V2_Standardized</x:v>
      </x:c>
      <x:c r="L22" s="39" t="str"/>
    </x:row>
    <x:row r="23" ht="24" hidden="0" customHeight="1">
      <x:c r="A23" s="22" t="str">
        <x:v>FILE-018</x:v>
      </x:c>
      <x:c r="B23" s="16" t="str">
        <x:v>FOUNDATIONS_IMPLEMENTATION.md</x:v>
      </x:c>
      <x:c r="C23" s="16" t="str">
        <x:v>توثيق تنفيذ خاص</x:v>
      </x:c>
      <x:c r="D23" s="16" t="str">
        <x:v>مرجع مرتبط؛ ليس مرفقًا محليًا</x:v>
      </x:c>
      <x:c r="E23" s="28"/>
      <x:c r="F23" s="28"/>
      <x:c r="G23" s="28"/>
      <x:c r="H23" s="28"/>
      <x:c r="I23" s="16" t="str">
        <x:v>appendices/appendix-j/index.html#implementation</x:v>
      </x:c>
      <x:c r="J23" s="16" t="str">
        <x:v>وصف التنفيذ ومعايير الفحص؛ لا يحل محل سجل اختبار النظارة</x:v>
      </x:c>
      <x:c r="K23" s="16" t="str">
        <x:v>https://github.com/ZuhdiZahdeh/GeometryVRLab_V2_Standardized/blob/main/FOUNDATIONS_IMPLEMENTATION.md</x:v>
      </x:c>
      <x:c r="L23" s="40" t="str"/>
    </x:row>
    <x:row r="24" ht="24" hidden="0" customHeight="1">
      <x:c r="A24" s="21" t="str">
        <x:v>FILE-019</x:v>
      </x:c>
      <x:c r="B24" s="13" t="str">
        <x:v>FOUNDATIONS_VOICEOVER.md</x:v>
      </x:c>
      <x:c r="C24" s="13" t="str">
        <x:v>توثيق صوت خاص</x:v>
      </x:c>
      <x:c r="D24" s="13" t="str">
        <x:v>مرجع مرتبط؛ ليس مرفقًا محليًا</x:v>
      </x:c>
      <x:c r="E24" s="27"/>
      <x:c r="F24" s="27"/>
      <x:c r="G24" s="27"/>
      <x:c r="H24" s="27"/>
      <x:c r="I24" s="13" t="str">
        <x:v>appendices/appendix-j/index.html#voiceover</x:v>
      </x:c>
      <x:c r="J24" s="13" t="str">
        <x:v>يوثق ربط الصوت؛ ملفات MP3 نفسها ليست من المرفقات الحالية</x:v>
      </x:c>
      <x:c r="K24" s="13" t="str">
        <x:v>https://github.com/ZuhdiZahdeh/GeometryVRLab_V2_Standardized/blob/main/FOUNDATIONS_VOICEOVER.md</x:v>
      </x:c>
      <x:c r="L24" s="39" t="str"/>
    </x:row>
    <x:row r="25" ht="24" hidden="0" customHeight="1">
      <x:c r="A25" s="22" t="str">
        <x:v>FILE-020</x:v>
      </x:c>
      <x:c r="B25" s="16" t="str">
        <x:v>foundations_voiceover_manifest.json</x:v>
      </x:c>
      <x:c r="C25" s="16" t="str">
        <x:v>سجل صوت في مستودع خاص</x:v>
      </x:c>
      <x:c r="D25" s="16" t="str">
        <x:v>مرجع مرتبط؛ ليس مرفقًا محليًا</x:v>
      </x:c>
      <x:c r="E25" s="28"/>
      <x:c r="F25" s="28"/>
      <x:c r="G25" s="28"/>
      <x:c r="H25" s="28"/>
      <x:c r="I25" s="16" t="str">
        <x:v>appendices/appendix-j/index.html#audio-manifest</x:v>
      </x:c>
      <x:c r="J25" s="16" t="str">
        <x:v>مطلوب استخراج نسخة مناسبة للموقع مع أسماء الأحداث والنصوص والمدة والمصدر</x:v>
      </x:c>
      <x:c r="K25" s="16" t="str">
        <x:v>https://github.com/ZuhdiZahdeh/GeometryVRLab_V2_Standardized/blob/main/Tools/foundations_voiceover_manifest.json</x:v>
      </x:c>
      <x:c r="L25" s="40" t="str"/>
    </x:row>
    <x:row r="26" ht="15" hidden="0" customHeight="1">
      <x:c r="A26" s="21" t="str">
        <x:v>FILE-021</x:v>
      </x:c>
      <x:c r="B26" s="13" t="str">
        <x:v>GeometryVRLab_v1.0.0.apk</x:v>
      </x:c>
      <x:c r="C26" s="13" t="str">
        <x:v>ملف مسمى داخل البحث</x:v>
      </x:c>
      <x:c r="D26" s="13" t="str">
        <x:v>غير مرفق بهذا الاسم</x:v>
      </x:c>
      <x:c r="E26" s="27"/>
      <x:c r="F26" s="27"/>
      <x:c r="G26" s="27"/>
      <x:c r="H26" s="27"/>
      <x:c r="I26" s="13" t="str">
        <x:v>versions/index.html#alpha-1-0-0</x:v>
      </x:c>
      <x:c r="J26" s="13" t="str">
        <x:v>ورد اسمه في الملحق ط؛ المرفق الحالي صورة لملف البناء وليست ملف APK</x:v>
      </x:c>
      <x:c r="K26" s="13" t="str"/>
      <x:c r="L26" s="39" t="str"/>
    </x:row>
    <x:row r="27" ht="15" hidden="0" customHeight="1">
      <x:c r="A27" s="23" t="str">
        <x:v>FILE-022</x:v>
      </x:c>
      <x:c r="B27" s="19" t="str">
        <x:v>Geometry_VR_Lab_Best_Clips.mp4</x:v>
      </x:c>
      <x:c r="C27" s="19" t="str">
        <x:v>ملف مسمى داخل البحث</x:v>
      </x:c>
      <x:c r="D27" s="19" t="str">
        <x:v>غير مرفق بهذا الاسم</x:v>
      </x:c>
      <x:c r="E27" s="29"/>
      <x:c r="F27" s="29"/>
      <x:c r="G27" s="29"/>
      <x:c r="H27" s="29"/>
      <x:c r="I27" s="19" t="str">
        <x:v>appendices/appendix-i/index.html#historical-video</x:v>
      </x:c>
      <x:c r="J27" s="19" t="str">
        <x:v>ورد اسمه ومدة 2:43 في البحث؛ لا يوجد ملف مرفق بهذا الاسم، ولا إثبات تطابق مع أحد المقاطع</x:v>
      </x:c>
      <x:c r="K27" s="19" t="str"/>
      <x:c r="L27" s="49" t="str"/>
    </x:row>
  </x:sheetData>
  <x:mergeCells>
    <x:mergeCell ref="A1:E1"/>
    <x:mergeCell ref="A2:E2"/>
    <x:mergeCell ref="A3:E3"/>
  </x:mergeCells>
  <x:pageMargins left="0.7" right="0.7" top="0.75" bottom="0.75" header="0.3" footer="0.3"/>
  <x:tableParts count="1">
    <x:tablePart xmlns:r="http://schemas.openxmlformats.org/officeDocument/2006/relationships" r:id="Ra2e751cae0054e8c"/>
  </x:tableParts>
</x:worksheet>
</file>

<file path=xl/worksheets/sheet7.xml><?xml version="1.0" encoding="utf-8"?>
<x:worksheet xmlns:x="http://schemas.openxmlformats.org/spreadsheetml/2006/main">
  <x:sheetPr>
    <x:tabColor rgb="FF23364D"/>
  </x:sheetPr>
  <x:sheetViews>
    <x:sheetView showGridLines="0" workbookViewId="0">
      <x:pane xSplit="2" ySplit="5" topLeftCell="C6" activePane="bottomRight" state="frozen"/>
    </x:sheetView>
  </x:sheetViews>
  <x:sheetFormatPr defaultRowHeight="15"/>
  <x:cols>
    <x:col min="1" max="1" width="11.670000076293945" hidden="0" customWidth="1"/>
    <x:col min="2" max="2" width="16.110000610351562" hidden="0" customWidth="1"/>
    <x:col min="3" max="3" width="17.219999313354492" hidden="0" customWidth="1"/>
    <x:col min="4" max="4" width="42.220001220703125" hidden="0" customWidth="1"/>
    <x:col min="5" max="5" width="48.33000183105469" hidden="0" customWidth="1"/>
    <x:col min="6" max="6" width="35.560001373291016" hidden="0" customWidth="1"/>
    <x:col min="7" max="7" width="45" hidden="0" customWidth="1"/>
    <x:col min="8" max="8" width="62.220001220703125" hidden="0" customWidth="1"/>
    <x:col min="9" max="9" width="11.109999656677246" hidden="0" customWidth="1"/>
    <x:col min="10" max="10" width="26.670000076293945" hidden="0" customWidth="1"/>
    <x:col min="11" max="11" width="14.4399995803833" hidden="0" customWidth="1"/>
  </x:cols>
  <x:sheetData>
    <x:row r="1" ht="34" customHeight="1">
      <x:c r="A1" s="5" t="str">
        <x:v>مواد الاستكمال — مختبر الهندسة بالواقع الافتراضي</x:v>
      </x:c>
      <x:c r="B1" s="5"/>
      <x:c r="C1" s="5"/>
      <x:c r="D1" s="5"/>
      <x:c r="E1" s="5"/>
      <x:c r="F1" s="4"/>
      <x:c r="G1" s="4"/>
      <x:c r="H1" s="4"/>
      <x:c r="I1" s="4"/>
      <x:c r="J1" s="4"/>
      <x:c r="K1" s="4"/>
    </x:row>
    <x:row r="2" ht="35" customHeight="1">
      <x:c r="A2" s="4" t="str">
        <x:v>المسارات مقترحة داخل الموقع؛ السجل يحتفظ بالأصل والتكرارات وملاحظات الاستكمال.</x:v>
      </x:c>
      <x:c r="B2" s="4"/>
      <x:c r="C2" s="4"/>
      <x:c r="D2" s="4"/>
      <x:c r="E2" s="4"/>
      <x:c r="F2" s="4"/>
      <x:c r="G2" s="4"/>
      <x:c r="H2" s="4"/>
      <x:c r="I2" s="4"/>
      <x:c r="J2" s="4"/>
      <x:c r="K2" s="4"/>
    </x:row>
    <x:row r="3" ht="30" customHeight="1">
      <x:c r="A3" s="4" t="str">
        <x:v>تاريخ الجرد: 2026-10-04. تُترك البيانات غير المعروفة صريحة دون استنتاج الإصدار من اسم الملف.</x:v>
      </x:c>
      <x:c r="B3" s="4"/>
      <x:c r="C3" s="4"/>
      <x:c r="D3" s="4"/>
      <x:c r="E3" s="4"/>
      <x:c r="F3" s="4"/>
      <x:c r="G3" s="4"/>
      <x:c r="H3" s="4"/>
      <x:c r="I3" s="4"/>
      <x:c r="J3" s="4"/>
      <x:c r="K3" s="4"/>
    </x:row>
    <x:row r="4">
      <x:c r="A4" s="4"/>
      <x:c r="B4" s="4"/>
      <x:c r="C4" s="4"/>
      <x:c r="D4" s="4"/>
      <x:c r="E4" s="4"/>
      <x:c r="F4" s="4"/>
      <x:c r="G4" s="4"/>
      <x:c r="H4" s="4"/>
      <x:c r="I4" s="4"/>
      <x:c r="J4" s="4"/>
      <x:c r="K4" s="4"/>
    </x:row>
    <x:row r="5" ht="38" customHeight="1">
      <x:c r="A5" s="9" t="str">
        <x:v>المعرف</x:v>
      </x:c>
      <x:c r="B5" s="10" t="str">
        <x:v>الأولوية</x:v>
      </x:c>
      <x:c r="C5" s="10" t="str">
        <x:v>النوع</x:v>
      </x:c>
      <x:c r="D5" s="10" t="str">
        <x:v>المادة أو المهمة</x:v>
      </x:c>
      <x:c r="E5" s="10" t="str">
        <x:v>سبب الاستكمال</x:v>
      </x:c>
      <x:c r="F5" s="10" t="str">
        <x:v>الموضع أو الدليل</x:v>
      </x:c>
      <x:c r="G5" s="10" t="str">
        <x:v>الوجهة</x:v>
      </x:c>
      <x:c r="H5" s="10" t="str">
        <x:v>المخرج المطلوب</x:v>
      </x:c>
      <x:c r="I5" s="10" t="str">
        <x:v>الجزء</x:v>
      </x:c>
      <x:c r="J5" s="10" t="str">
        <x:v>الجهة المقترحة</x:v>
      </x:c>
      <x:c r="K5" s="11" t="str">
        <x:v>الحالة</x:v>
      </x:c>
    </x:row>
    <x:row r="6" ht="15" hidden="0" customHeight="1">
      <x:c r="A6" s="21" t="str">
        <x:v>GAP-001</x:v>
      </x:c>
      <x:c r="B6" s="51" t="str">
        <x:v>عاجلة</x:v>
      </x:c>
      <x:c r="C6" s="13" t="str">
        <x:v>مادة ناقصة</x:v>
      </x:c>
      <x:c r="D6" s="13" t="str">
        <x:v>النسخة الأصلية التي قُدمت للسمينار وتاريخ تقديمها</x:v>
      </x:c>
      <x:c r="E6" s="13" t="str">
        <x:v>المرفق محدّث بالصوت فلا يثبت أنه النسخة المقدمة حرفيًا</x:v>
      </x:c>
      <x:c r="F6" s="13" t="str">
        <x:v>اسم البحث ومحتواه</x:v>
      </x:c>
      <x:c r="G6" s="13" t="str">
        <x:v>downloads/index.html#seminar</x:v>
      </x:c>
      <x:c r="H6" s="13" t="str">
        <x:v>ملف النسخة المقدمة وتاريخها؛ أو تصريح بعدم توفرها وتحديد أقرب نسخة محفوظة</x:v>
      </x:c>
      <x:c r="I6" s="13" t="str">
        <x:v>٢</x:v>
      </x:c>
      <x:c r="J6" s="13" t="str">
        <x:v>الباحث</x:v>
      </x:c>
      <x:c r="K6" s="14" t="str">
        <x:v>مفتوح</x:v>
      </x:c>
    </x:row>
    <x:row r="7" ht="24" hidden="0" customHeight="1">
      <x:c r="A7" s="22" t="str">
        <x:v>GAP-002</x:v>
      </x:c>
      <x:c r="B7" s="51" t="str">
        <x:v>عاجلة</x:v>
      </x:c>
      <x:c r="C7" s="16" t="str">
        <x:v>مادة ناقصة</x:v>
      </x:c>
      <x:c r="D7" s="16" t="str">
        <x:v>فيديو حديث للمشهد المدمج مع الإرشاد الصوتي</x:v>
      </x:c>
      <x:c r="E7" s="16" t="str">
        <x:v>VID-01 يوثق الفصل القديم؛ العينات لا تثبت التسلسل الجديد</x:v>
      </x:c>
      <x:c r="F7" s="16" t="str">
        <x:v>VID-01؛ خطة الدمج</x:v>
      </x:c>
      <x:c r="G7" s="16" t="str">
        <x:v>appendices/appendix-j/index.html#merged-stage</x:v>
      </x:c>
      <x:c r="H7" s="16" t="str">
        <x:v>تسجيل يوضح منصة الفحص والمكعب والأسطوانة والكرة والتقدم والمساعدة والصوت والانتقال مع الإصدار والتاريخ</x:v>
      </x:c>
      <x:c r="I7" s="16" t="str">
        <x:v>٢/٧/٨</x:v>
      </x:c>
      <x:c r="J7" s="16" t="str">
        <x:v>الباحث</x:v>
      </x:c>
      <x:c r="K7" s="17" t="str">
        <x:v>مفتوح</x:v>
      </x:c>
    </x:row>
    <x:row r="8" ht="24" hidden="0" customHeight="1">
      <x:c r="A8" s="21" t="str">
        <x:v>GAP-003</x:v>
      </x:c>
      <x:c r="B8" s="51" t="str">
        <x:v>عاجلة</x:v>
      </x:c>
      <x:c r="C8" s="13" t="str">
        <x:v>بيانات ناقصة</x:v>
      </x:c>
      <x:c r="D8" s="13" t="str">
        <x:v>هوية البناء الذي اختُبر على النظارة</x:v>
      </x:c>
      <x:c r="E8" s="13" t="str">
        <x:v>توجد قيم 1.0.0 و1.2.4 و1.3.0 لمراحل مختلفة</x:v>
      </x:c>
      <x:c r="F8" s="13" t="str">
        <x:v>الملحق ط؛ صور images_7؛ صفحة التطبيق؛ إفادة الباحث</x:v>
      </x:c>
      <x:c r="G8" s="13" t="str">
        <x:v>versions/index.html#current</x:v>
      </x:c>
      <x:c r="H8" s="13" t="str">
        <x:v>رقم الإصدار والبناء وتاريخ الاختبار ونوع الجهاز وطريقة APK أو Link ومعرف commit إن توفر</x:v>
      </x:c>
      <x:c r="I8" s="13" t="str">
        <x:v>٢</x:v>
      </x:c>
      <x:c r="J8" s="13" t="str">
        <x:v>الباحث</x:v>
      </x:c>
      <x:c r="K8" s="14" t="str">
        <x:v>مفتوح</x:v>
      </x:c>
    </x:row>
    <x:row r="9" ht="24" hidden="0" customHeight="1">
      <x:c r="A9" s="22" t="str">
        <x:v>GAP-004</x:v>
      </x:c>
      <x:c r="B9" s="51" t="str">
        <x:v>عاجلة</x:v>
      </x:c>
      <x:c r="C9" s="16" t="str">
        <x:v>سجل اختبار</x:v>
      </x:c>
      <x:c r="D9" s="16" t="str">
        <x:v>نتائج اختبار وظائف المرحلة المدمجة</x:v>
      </x:c>
      <x:c r="E9" s="16" t="str">
        <x:v>إفادة عمل المشهد عامة؛ معايير الخطة ليست نتائج مجرّبة</x:v>
      </x:c>
      <x:c r="F9" s="16" t="str">
        <x:v>خطة الدمج؛ مصفوفة T013؛ توثيق التنفيذ</x:v>
      </x:c>
      <x:c r="G9" s="16" t="str">
        <x:v>evidence/index.html#functional-tests</x:v>
      </x:c>
      <x:c r="H9" s="16" t="str">
        <x:v>سجل حالة لكل اختبار: نجاح الخاصية ثم الوضع، منع تكرار النجاح، إخراج الجسم، إعادة الضبط، المساعدة، منع تداخل الصوت، الانتقال؛ يكتب غير مختبر عند غياب الفحص</x:v>
      </x:c>
      <x:c r="I9" s="16" t="str">
        <x:v>٢/٧</x:v>
      </x:c>
      <x:c r="J9" s="16" t="str">
        <x:v>الباحث</x:v>
      </x:c>
      <x:c r="K9" s="17" t="str">
        <x:v>مفتوح</x:v>
      </x:c>
    </x:row>
    <x:row r="10" ht="15" hidden="0" customHeight="1">
      <x:c r="A10" s="21" t="str">
        <x:v>GAP-005</x:v>
      </x:c>
      <x:c r="B10" s="51" t="str">
        <x:v>عاجلة</x:v>
      </x:c>
      <x:c r="C10" s="13" t="str">
        <x:v>مراجعة نص</x:v>
      </x:c>
      <x:c r="D10" s="13" t="str">
        <x:v>تحديث البنية والمراحل في المتن بعد الدمج</x:v>
      </x:c>
      <x:c r="E10" s="13" t="str">
        <x:v>الفصل الثالث يصف بنية سابقة، والتحديثات موزعة في الملاحق</x:v>
      </x:c>
      <x:c r="F10" s="13" t="str">
        <x:v>3.8؛3.9؛4.2–4.7؛5.8؛الملحقان أ وب</x:v>
      </x:c>
      <x:c r="G10" s="13" t="str">
        <x:v>chapters/chapter-03/index.html#section-3-8</x:v>
      </x:c>
      <x:c r="H10" s="13" t="str">
        <x:v>وصف متسق للمشهد الجديد مع حفظ التصميم السابق في سجل التطوير وإضافة التحديات والمقاطع</x:v>
      </x:c>
      <x:c r="I10" s="13" t="str">
        <x:v>٢</x:v>
      </x:c>
      <x:c r="J10" s="13" t="str">
        <x:v>تحرير البحث من الأدلة</x:v>
      </x:c>
      <x:c r="K10" s="14" t="str">
        <x:v>مفتوح</x:v>
      </x:c>
    </x:row>
    <x:row r="11" ht="15" hidden="0" customHeight="1">
      <x:c r="A11" s="22" t="str">
        <x:v>GAP-006</x:v>
      </x:c>
      <x:c r="B11" s="51" t="str">
        <x:v>عاجلة</x:v>
      </x:c>
      <x:c r="C11" s="16" t="str">
        <x:v>مراجعة زمن</x:v>
      </x:c>
      <x:c r="D11" s="16" t="str">
        <x:v>تمييز اختبار APK الداخلي عن النشر وVRC</x:v>
      </x:c>
      <x:c r="E11" s="16" t="str">
        <x:v>5.6 يتحدث عن نسخة منشورة ومتطلبات كاملة؛ ط يوثق اختبارًا داخليًا</x:v>
      </x:c>
      <x:c r="F11" s="16" t="str">
        <x:v>5.6؛3.10؛T013؛الملحق ط</x:v>
      </x:c>
      <x:c r="G11" s="16" t="str">
        <x:v>chapters/chapter-05/index.html#section-5-6</x:v>
      </x:c>
      <x:c r="H11" s="16" t="str">
        <x:v>صياغة تحدد ما اختُبر داخليًا وما نُشر وما لم يُفحص وفق متطلبات VRC، دون افتراض تعارض قاطع</x:v>
      </x:c>
      <x:c r="I11" s="16" t="str">
        <x:v>٢</x:v>
      </x:c>
      <x:c r="J11" s="16" t="str">
        <x:v>تحرير البحث مع الباحث</x:v>
      </x:c>
      <x:c r="K11" s="17" t="str">
        <x:v>مفتوح</x:v>
      </x:c>
    </x:row>
    <x:row r="12" ht="24" hidden="0" customHeight="1">
      <x:c r="A12" s="21" t="str">
        <x:v>GAP-007</x:v>
      </x:c>
      <x:c r="B12" s="51" t="str">
        <x:v>عاجلة</x:v>
      </x:c>
      <x:c r="C12" s="13" t="str">
        <x:v>إتاحة دليل</x:v>
      </x:c>
      <x:c r="D12" s="13" t="str">
        <x:v>نسخ عامة مناسبة من توثيق التنفيذ والصوت</x:v>
      </x:c>
      <x:c r="E12" s="13" t="str">
        <x:v>مستودع التطبيق خاص فلا يمكن للقارئ العام الوصول إلى ملفاته</x:v>
      </x:c>
      <x:c r="F12" s="13" t="str">
        <x:v>FILE-مرجع المستودع؛ وثيقتا FOUNDATIONS</x:v>
      </x:c>
      <x:c r="G12" s="13" t="str">
        <x:v>appendices/appendix-j/index.html</x:v>
      </x:c>
      <x:c r="H12" s="13" t="str">
        <x:v>مواد مختارة من وثائق التنفيذ والصوت مع مصدرها وتاريخها ومعرف commit بعد مراجعة محتواها للنشر</x:v>
      </x:c>
      <x:c r="I12" s="13" t="str">
        <x:v>٧/٨</x:v>
      </x:c>
      <x:c r="J12" s="13" t="str">
        <x:v>الباحث والتحرير</x:v>
      </x:c>
      <x:c r="K12" s="14" t="str">
        <x:v>مفتوح</x:v>
      </x:c>
    </x:row>
    <x:row r="13" ht="15" hidden="0" customHeight="1">
      <x:c r="A13" s="22" t="str">
        <x:v>GAP-008</x:v>
      </x:c>
      <x:c r="B13" s="51" t="str">
        <x:v>عاجلة</x:v>
      </x:c>
      <x:c r="C13" s="16" t="str">
        <x:v>سجل تطوير</x:v>
      </x:c>
      <x:c r="D13" s="16" t="str">
        <x:v>تعبئة سجل التطوير الحقيقي</x:v>
      </x:c>
      <x:c r="E13" s="16" t="str">
        <x:v>الملحق و نموذج ذو صفوف فارغة</x:v>
      </x:c>
      <x:c r="F13" s="16" t="str">
        <x:v>T016؛الملحق و</x:v>
      </x:c>
      <x:c r="G13" s="16" t="str">
        <x:v>appendices/appendix-f/index.html</x:v>
      </x:c>
      <x:c r="H13" s="16" t="str">
        <x:v>سجل مؤرخ للمشكلة والتعديل والإصدار ونتيجة الفحص والدليل</x:v>
      </x:c>
      <x:c r="I13" s="16" t="str">
        <x:v>٢/٨</x:v>
      </x:c>
      <x:c r="J13" s="16" t="str">
        <x:v>الباحث</x:v>
      </x:c>
      <x:c r="K13" s="17" t="str">
        <x:v>مفتوح</x:v>
      </x:c>
    </x:row>
    <x:row r="14" ht="15" hidden="0" customHeight="1">
      <x:c r="A14" s="21" t="str">
        <x:v>GAP-009</x:v>
      </x:c>
      <x:c r="B14" s="13" t="str">
        <x:v>قبل النشر</x:v>
      </x:c>
      <x:c r="C14" s="13" t="str">
        <x:v>سجل صوت</x:v>
      </x:c>
      <x:c r="D14" s="13" t="str">
        <x:v>نصوص الإرشاد ومصادرها وربطها بالأحداث</x:v>
      </x:c>
      <x:c r="E14" s="13" t="str">
        <x:v>لم تُرفق ملفات الصوت أو النصوص الكاملة، ولم يُستمع إلى صوت الفيديوهات</x:v>
      </x:c>
      <x:c r="F14" s="13" t="str">
        <x:v>FOUNDATIONS_VOICEOVER.md؛ manifest؛3.9.4</x:v>
      </x:c>
      <x:c r="G14" s="13" t="str">
        <x:v>appendices/appendix-j/index.html#voiceover</x:v>
      </x:c>
      <x:c r="H14" s="13" t="str">
        <x:v>جدول ملف/حدث/نص عربي/مدة/مصدر وصوت مستمع إليه للتحقق من النطق والتزامن وعدم التداخل</x:v>
      </x:c>
      <x:c r="I14" s="13" t="str">
        <x:v>٧</x:v>
      </x:c>
      <x:c r="J14" s="13" t="str">
        <x:v>الباحث والتحرير</x:v>
      </x:c>
      <x:c r="K14" s="14" t="str">
        <x:v>مفتوح</x:v>
      </x:c>
    </x:row>
    <x:row r="15" ht="24" hidden="0" customHeight="1">
      <x:c r="A15" s="22" t="str">
        <x:v>GAP-010</x:v>
      </x:c>
      <x:c r="B15" s="16" t="str">
        <x:v>قبل النشر</x:v>
      </x:c>
      <x:c r="C15" s="16" t="str">
        <x:v>وصف وسائط</x:v>
      </x:c>
      <x:c r="D15" s="16" t="str">
        <x:v>تعليقات الصور والنصوص البديلة وتاريخها وإصدارها</x:v>
      </x:c>
      <x:c r="E15" s="16" t="str">
        <x:v>أسماء الملفات وطوابع ZIP لا تثبت تاريخ التصوير</x:v>
      </x:c>
      <x:c r="F15" s="16" t="str">
        <x:v>سجل الصور كاملًا</x:v>
      </x:c>
      <x:c r="G15" s="16" t="str">
        <x:v>evidence/index.html#images</x:v>
      </x:c>
      <x:c r="H15" s="16" t="str">
        <x:v>انتقاء صور فريدة وإكمال التعليق والنص البديل والمصدر والإصدار والتاريخ المعروف أو وسم غير معروف</x:v>
      </x:c>
      <x:c r="I15" s="16" t="str">
        <x:v>٧</x:v>
      </x:c>
      <x:c r="J15" s="16" t="str">
        <x:v>الباحث والتحرير</x:v>
      </x:c>
      <x:c r="K15" s="17" t="str">
        <x:v>مفتوح</x:v>
      </x:c>
    </x:row>
    <x:row r="16" ht="15" hidden="0" customHeight="1">
      <x:c r="A16" s="21" t="str">
        <x:v>GAP-011</x:v>
      </x:c>
      <x:c r="B16" s="13" t="str">
        <x:v>قبل النشر</x:v>
      </x:c>
      <x:c r="C16" s="13" t="str">
        <x:v>مراجعة واجهة</x:v>
      </x:c>
      <x:c r="D16" s="13" t="str">
        <x:v>إعادة التقاط صور مركز التعلم بعد معالجة التراكب</x:v>
      </x:c>
      <x:c r="E16" s="13" t="str">
        <x:v>صور 24 و25 تعرض تكرارًا وتراكبًا في النص</x:v>
      </x:c>
      <x:c r="F16" s="13" t="str">
        <x:v>images_5/24.jpeg؛images_5/25.jpeg</x:v>
      </x:c>
      <x:c r="G16" s="13" t="str">
        <x:v>evidence/index.html#cross-sections</x:v>
      </x:c>
      <x:c r="H16" s="13" t="str">
        <x:v>فحص الواجهة الحالية ثم لقطات واضحة؛ إذا كانت تاريخية توسم بالمشكلة التي كانت تعرضها</x:v>
      </x:c>
      <x:c r="I16" s="13" t="str">
        <x:v>٧</x:v>
      </x:c>
      <x:c r="J16" s="13" t="str">
        <x:v>الباحث</x:v>
      </x:c>
      <x:c r="K16" s="14" t="str">
        <x:v>مفتوح</x:v>
      </x:c>
    </x:row>
    <x:row r="17" ht="24" hidden="0" customHeight="1">
      <x:c r="A17" s="22" t="str">
        <x:v>GAP-012</x:v>
      </x:c>
      <x:c r="B17" s="16" t="str">
        <x:v>قبل النشر</x:v>
      </x:c>
      <x:c r="C17" s="16" t="str">
        <x:v>مراجعة رياضية</x:v>
      </x:c>
      <x:c r="D17" s="16" t="str">
        <x:v>مصدر رسوم المقاطع وتفسير اتجاه القطع</x:v>
      </x:c>
      <x:c r="E17" s="16" t="str">
        <x:v>الرسوم التعليمية تحتاج توثيق المنشأ وتعليقًا دقيقًا على المستويات</x:v>
      </x:c>
      <x:c r="F17" s="16" t="str">
        <x:v>images_6؛خصوصًا ChallengeStart وChallengeSuccess</x:v>
      </x:c>
      <x:c r="G17" s="16" t="str">
        <x:v>chapters/chapter-03/index.html#cross-sections</x:v>
      </x:c>
      <x:c r="H17" s="16" t="str">
        <x:v>مصدر وطريقة إنشاء الرسوم، مراجعة رياضية لكل مقطع واتجاهه وتعريب الرسم الإنجليزي أو شرحه</x:v>
      </x:c>
      <x:c r="I17" s="16" t="str">
        <x:v>٢/٧</x:v>
      </x:c>
      <x:c r="J17" s="16" t="str">
        <x:v>الباحث ومراجعة رياضية</x:v>
      </x:c>
      <x:c r="K17" s="17" t="str">
        <x:v>مفتوح</x:v>
      </x:c>
    </x:row>
    <x:row r="18" ht="24" hidden="0" customHeight="1">
      <x:c r="A18" s="21" t="str">
        <x:v>GAP-013</x:v>
      </x:c>
      <x:c r="B18" s="13" t="str">
        <x:v>قبل النشر</x:v>
      </x:c>
      <x:c r="C18" s="13" t="str">
        <x:v>انتقاء وسائط</x:v>
      </x:c>
      <x:c r="D18" s="13" t="str">
        <x:v>صور نظيفة للعرض العام</x:v>
      </x:c>
      <x:c r="E18" s="13" t="str">
        <x:v>بعض الملفات تكشف بيانات حساب/جهاز، وأحد الفيديوهات يعرض غرفة وشخصًا، وبعض الصور Sample text</x:v>
      </x:c>
      <x:c r="F18" s="13" t="str">
        <x:v>صور النظام؛IMG-L-066/067/068؛AVID-04</x:v>
      </x:c>
      <x:c r="G18" s="13" t="str">
        <x:v>evidence/index.html#publication-media</x:v>
      </x:c>
      <x:c r="H18" s="13" t="str">
        <x:v>اختيار مقتطفات تعليمية وصور حديثة؛ اقتصاص أو طمس البيانات غير اللازمة عند إعداد نسخة العرض</x:v>
      </x:c>
      <x:c r="I18" s="13" t="str">
        <x:v>٧</x:v>
      </x:c>
      <x:c r="J18" s="13" t="str">
        <x:v>الباحث والتحرير</x:v>
      </x:c>
      <x:c r="K18" s="14" t="str">
        <x:v>مفتوح</x:v>
      </x:c>
    </x:row>
    <x:row r="19" ht="24" hidden="0" customHeight="1">
      <x:c r="A19" s="22" t="str">
        <x:v>GAP-014</x:v>
      </x:c>
      <x:c r="B19" s="16" t="str">
        <x:v>قبل النشر</x:v>
      </x:c>
      <x:c r="C19" s="16" t="str">
        <x:v>نسخة فيديو</x:v>
      </x:c>
      <x:c r="D19" s="16" t="str">
        <x:v>الفيديو التاريخي المشار إليه في البحث</x:v>
      </x:c>
      <x:c r="E19" s="16" t="str">
        <x:v>الاسم Geometry_VR_Lab_Best_Clips.mp4 غير موجود ضمن المرفقات</x:v>
      </x:c>
      <x:c r="F19" s="16" t="str">
        <x:v>T023؛P0472</x:v>
      </x:c>
      <x:c r="G19" s="16" t="str">
        <x:v>appendices/appendix-i/index.html#historical-video</x:v>
      </x:c>
      <x:c r="H19" s="16" t="str">
        <x:v>الملف المذكور أو تحديد بديل مع توثيق تغيير الاسم والمدة؛ لا يُفترض تطابقه مع VID-04 لتقارب المدة</x:v>
      </x:c>
      <x:c r="I19" s="16" t="str">
        <x:v>٧</x:v>
      </x:c>
      <x:c r="J19" s="16" t="str">
        <x:v>الباحث</x:v>
      </x:c>
      <x:c r="K19" s="17" t="str">
        <x:v>مفتوح</x:v>
      </x:c>
    </x:row>
    <x:row r="20" ht="24" hidden="0" customHeight="1">
      <x:c r="A20" s="21" t="str">
        <x:v>GAP-015</x:v>
      </x:c>
      <x:c r="B20" s="13" t="str">
        <x:v>قبل النشر</x:v>
      </x:c>
      <x:c r="C20" s="13" t="str">
        <x:v>بيانات مرجعية</x:v>
      </x:c>
      <x:c r="D20" s="13" t="str">
        <x:v>مطابقة الاستشهادات والتحقق من المراجع والروابط</x:v>
      </x:c>
      <x:c r="E20" s="13" t="str">
        <x:v>32 مرجعًا منقولًا؛ لم تجرِ مطابقة إحالات النص أو التحقق الخارجي الكامل</x:v>
      </x:c>
      <x:c r="F20" s="13" t="str">
        <x:v>قائمة المراجع؛2.6؛2.7</x:v>
      </x:c>
      <x:c r="G20" s="13" t="str">
        <x:v>references/index.html</x:v>
      </x:c>
      <x:c r="H20" s="13" t="str">
        <x:v>مطابقة الإحالات بالمرجع، وفحص DOI والبيانات والروابط، وتحديث أسعار/حالات المنصات أو إبقائها مؤرخة</x:v>
      </x:c>
      <x:c r="I20" s="13" t="str">
        <x:v>٦</x:v>
      </x:c>
      <x:c r="J20" s="13" t="str">
        <x:v>تحرير المراجع</x:v>
      </x:c>
      <x:c r="K20" s="14" t="str">
        <x:v>مفتوح</x:v>
      </x:c>
    </x:row>
    <x:row r="21" ht="24" hidden="0" customHeight="1">
      <x:c r="A21" s="22" t="str">
        <x:v>GAP-016</x:v>
      </x:c>
      <x:c r="B21" s="16" t="str">
        <x:v>قبل النشر</x:v>
      </x:c>
      <x:c r="C21" s="16" t="str">
        <x:v>ملحق جديد</x:v>
      </x:c>
      <x:c r="D21" s="16" t="str">
        <x:v>الملحق ي للتطوير بعد السمينار</x:v>
      </x:c>
      <x:c r="E21" s="16" t="str">
        <x:v>الخطة والتنفيذ والاختبار اللاحق تحتاج موضعًا متكاملًا</x:v>
      </x:c>
      <x:c r="F21" s="16" t="str">
        <x:v>خطة الدمج؛توثيق التنفيذ؛إفادة الباحث</x:v>
      </x:c>
      <x:c r="G21" s="16" t="str">
        <x:v>appendices/appendix-j/index.html</x:v>
      </x:c>
      <x:c r="H21" s="16" t="str">
        <x:v>توثيق الحاجة والتصميم والتنفيذ والصوت والاختبارات والإصدار والأدلة، مرتبط بالفصول دون تكرار مطول</x:v>
      </x:c>
      <x:c r="I21" s="16" t="str">
        <x:v>٨</x:v>
      </x:c>
      <x:c r="J21" s="16" t="str">
        <x:v>تحرير البحث من الأدلة</x:v>
      </x:c>
      <x:c r="K21" s="17" t="str">
        <x:v>مفتوح</x:v>
      </x:c>
    </x:row>
    <x:row r="22" ht="24" hidden="0" customHeight="1">
      <x:c r="A22" s="21" t="str">
        <x:v>GAP-017</x:v>
      </x:c>
      <x:c r="B22" s="13" t="str">
        <x:v>قبل النشر</x:v>
      </x:c>
      <x:c r="C22" s="13" t="str">
        <x:v>بيانات نشر</x:v>
      </x:c>
      <x:c r="D22" s="13" t="str">
        <x:v>المؤلف والاستشهاد والتراخيص</x:v>
      </x:c>
      <x:c r="E22" s="13" t="str">
        <x:v>بيانات الغلاف موجودة؛ هوية الإصدار والترخيص للموقع والوسائط غير محددة</x:v>
      </x:c>
      <x:c r="F22" s="13" t="str">
        <x:v>T001؛الملحق ز؛ملفات الصور</x:v>
      </x:c>
      <x:c r="G22" s="13" t="str">
        <x:v>citation/index.html</x:v>
      </x:c>
      <x:c r="H22" s="13" t="str">
        <x:v>اسم المؤلف المعتمد وبيانات الإشراف وإصدار البحث وتاريخه وصيغة استشهاد وترخيص النص والوسائط</x:v>
      </x:c>
      <x:c r="I22" s="13" t="str">
        <x:v>٣/٨</x:v>
      </x:c>
      <x:c r="J22" s="13" t="str">
        <x:v>الباحث</x:v>
      </x:c>
      <x:c r="K22" s="14" t="str">
        <x:v>مفتوح</x:v>
      </x:c>
    </x:row>
    <x:row r="23" ht="15" hidden="0" customHeight="1">
      <x:c r="A23" s="22" t="str">
        <x:v>GAP-018</x:v>
      </x:c>
      <x:c r="B23" s="16" t="str">
        <x:v>قبل النشر</x:v>
      </x:c>
      <x:c r="C23" s="16" t="str">
        <x:v>ملف تنزيل</x:v>
      </x:c>
      <x:c r="D23" s="16" t="str">
        <x:v>نسخة بحث محدثة وPDF مطابق للموقع</x:v>
      </x:c>
      <x:c r="E23" s="16" t="str">
        <x:v>المصدر الحالي لا يعكس جميع التطورات أو تسلسل النشر</x:v>
      </x:c>
      <x:c r="F23" s="16" t="str">
        <x:v>البحث المرفق</x:v>
      </x:c>
      <x:c r="G23" s="16" t="str">
        <x:v>downloads/index.html</x:v>
      </x:c>
      <x:c r="H23" s="16" t="str">
        <x:v>Word وPDF بعد اعتماد تحديث النص، مع إصدار منفصل عن إصدار التطبيق</x:v>
      </x:c>
      <x:c r="I23" s="16" t="str">
        <x:v>٨</x:v>
      </x:c>
      <x:c r="J23" s="16" t="str">
        <x:v>تحرير البحث</x:v>
      </x:c>
      <x:c r="K23" s="17" t="str">
        <x:v>مفتوح</x:v>
      </x:c>
    </x:row>
    <x:row r="24" ht="15" hidden="0" customHeight="1">
      <x:c r="A24" s="21" t="str">
        <x:v>GAP-019</x:v>
      </x:c>
      <x:c r="B24" s="13" t="str">
        <x:v>قبل النشر</x:v>
      </x:c>
      <x:c r="C24" s="13" t="str">
        <x:v>إتاحة التطبيق</x:v>
      </x:c>
      <x:c r="D24" s="13" t="str">
        <x:v>حالة توزيع الإصدار الحالي ورابطه الصحيح</x:v>
      </x:c>
      <x:c r="E24" s="13" t="str">
        <x:v>صور Alpha السابقة وصفحة التعريف لا تثبت تنزيل النسخة المدمجة</x:v>
      </x:c>
      <x:c r="F24" s="13" t="str">
        <x:v>الملحق ط؛صور Meta؛صفحة التطبيق</x:v>
      </x:c>
      <x:c r="G24" s="13" t="str">
        <x:v>versions/index.html#distribution</x:v>
      </x:c>
      <x:c r="H24" s="13" t="str">
        <x:v>حالة الإتاحة وتاريخها ورابط فعلي صالح؛ يمكن توثيق التوزيع الداخلي إذا لم يوجد تنزيل عام</x:v>
      </x:c>
      <x:c r="I24" s="13" t="str">
        <x:v>٨</x:v>
      </x:c>
      <x:c r="J24" s="13" t="str">
        <x:v>الباحث</x:v>
      </x:c>
      <x:c r="K24" s="14" t="str">
        <x:v>مفتوح</x:v>
      </x:c>
    </x:row>
    <x:row r="25" ht="15" hidden="0" customHeight="1">
      <x:c r="A25" s="22" t="str">
        <x:v>GAP-020</x:v>
      </x:c>
      <x:c r="B25" s="16" t="str">
        <x:v>لاحقة اختيارية</x:v>
      </x:c>
      <x:c r="C25" s="16" t="str">
        <x:v>جودة وسائط</x:v>
      </x:c>
      <x:c r="D25" s="16" t="str">
        <x:v>أصول الفيديو الأعلى دقة وترجمات عربية</x:v>
      </x:c>
      <x:c r="E25" s="16" t="str">
        <x:v>المقاطع الحالية 848×478 وتحتاج نصًا مكافئًا عند نشرها</x:v>
      </x:c>
      <x:c r="F25" s="16" t="str">
        <x:v>سجل الفيديو</x:v>
      </x:c>
      <x:c r="G25" s="16" t="str">
        <x:v>evidence/index.html#videos</x:v>
      </x:c>
      <x:c r="H25" s="16" t="str">
        <x:v>الأصل الأعلى دقة إن توفر، ومقاطع مختارة مع نصوص/ترجمة وتعليقات بدل رفع الأرشيفات كاملة</x:v>
      </x:c>
      <x:c r="I25" s="16" t="str">
        <x:v>٧</x:v>
      </x:c>
      <x:c r="J25" s="16" t="str">
        <x:v>الباحث والتحرير</x:v>
      </x:c>
      <x:c r="K25" s="17" t="str">
        <x:v>مفتوح</x:v>
      </x:c>
    </x:row>
    <x:row r="26" ht="15" hidden="0" customHeight="1">
      <x:c r="A26" s="21" t="str">
        <x:v>GAP-021</x:v>
      </x:c>
      <x:c r="B26" s="13" t="str">
        <x:v>لاحقة اختيارية</x:v>
      </x:c>
      <x:c r="C26" s="13" t="str">
        <x:v>دراسة مستقبلية</x:v>
      </x:c>
      <x:c r="D26" s="13" t="str">
        <x:v>بيانات تجريب مع طلبة إذا أُريد بحث الفاعلية</x:v>
      </x:c>
      <x:c r="E26" s="13" t="str">
        <x:v>الدراسة الحالية تصميم وتطوير؛ لا توجد عينة أو قياس تعلم</x:v>
      </x:c>
      <x:c r="F26" s="13" t="str">
        <x:v>1.7؛3.2؛5.9؛الملحق ح</x:v>
      </x:c>
      <x:c r="G26" s="13" t="str">
        <x:v>chapters/chapter-05/index.html#section-5-9</x:v>
      </x:c>
      <x:c r="H26" s="13" t="str">
        <x:v>بروتوكول ودراسة منفصلة مستقبلًا؛ ليست مادة لازمة لإتمام توثيق التطوير الحالي</x:v>
      </x:c>
      <x:c r="I26" s="13" t="str">
        <x:v>مستقبلًا</x:v>
      </x:c>
      <x:c r="J26" s="13" t="str">
        <x:v>الباحث</x:v>
      </x:c>
      <x:c r="K26" s="14" t="str">
        <x:v>مفتوح</x:v>
      </x:c>
    </x:row>
    <x:row r="27" ht="15" hidden="0" customHeight="1">
      <x:c r="A27" s="22" t="str">
        <x:v>GAP-022</x:v>
      </x:c>
      <x:c r="B27" s="16" t="str">
        <x:v>قبل النشر</x:v>
      </x:c>
      <x:c r="C27" s="16" t="str">
        <x:v>مراجعة حالة</x:v>
      </x:c>
      <x:c r="D27" s="16" t="str">
        <x:v>تفصيل حالة Guides وLabels وAuto Rotate لكل مجسم</x:v>
      </x:c>
      <x:c r="E27" s="16" t="str">
        <x:v>ذكر اختبار الأزرار في ط لا يثبت اكتمال الضبط البصري على جميع المجسمات</x:v>
      </x:c>
      <x:c r="F27" s="16" t="str">
        <x:v>T013؛5.6؛الملحق ط</x:v>
      </x:c>
      <x:c r="G27" s="16" t="str">
        <x:v>chapters/chapter-04/index.html#section-4-7</x:v>
      </x:c>
      <x:c r="H27" s="16" t="str">
        <x:v>نتائج حسب المجسم والوظيفة؛ إبقاء غير المختبر أو الجزئي صريحًا</x:v>
      </x:c>
      <x:c r="I27" s="16" t="str">
        <x:v>٢/٧</x:v>
      </x:c>
      <x:c r="J27" s="16" t="str">
        <x:v>الباحث</x:v>
      </x:c>
      <x:c r="K27" s="17" t="str">
        <x:v>مفتوح</x:v>
      </x:c>
    </x:row>
    <x:row r="28" ht="24" hidden="0" customHeight="1">
      <x:c r="A28" s="21" t="str">
        <x:v>GAP-023</x:v>
      </x:c>
      <x:c r="B28" s="13" t="str">
        <x:v>قبل النشر</x:v>
      </x:c>
      <x:c r="C28" s="13" t="str">
        <x:v>مراجعة خارطة طريق</x:v>
      </x:c>
      <x:c r="D28" s="13" t="str">
        <x:v>فصل بناء APK عن الأداء وVRC</x:v>
      </x:c>
      <x:c r="E28" s="13" t="str">
        <x:v>البناء الداخلي تحقق في ط بينما خارطة الطريق تصفه ضمن مرحلة مستقبلية عامة</x:v>
      </x:c>
      <x:c r="F28" s="13" t="str">
        <x:v>T015؛الملحق ط</x:v>
      </x:c>
      <x:c r="G28" s="13" t="str">
        <x:v>chapters/chapter-05/index.html#section-5-10</x:v>
      </x:c>
      <x:c r="H28" s="13" t="str">
        <x:v>تمييز بناء وتوقيع وتثبيت وتشغيل مكتمل تاريخيًا، عن تحسين الأداء ومتطلبات النشر التي تحتاج فحصًا</x:v>
      </x:c>
      <x:c r="I28" s="13" t="str">
        <x:v>٢</x:v>
      </x:c>
      <x:c r="J28" s="13" t="str">
        <x:v>تحرير البحث مع الباحث</x:v>
      </x:c>
      <x:c r="K28" s="14" t="str">
        <x:v>مفتوح</x:v>
      </x:c>
    </x:row>
    <x:row r="29" ht="24" hidden="0" customHeight="1">
      <x:c r="A29" s="23" t="str">
        <x:v>GAP-024</x:v>
      </x:c>
      <x:c r="B29" s="19" t="str">
        <x:v>قبل النشر</x:v>
      </x:c>
      <x:c r="C29" s="19" t="str">
        <x:v>هيكل وتنقل</x:v>
      </x:c>
      <x:c r="D29" s="19" t="str">
        <x:v>فهرس أشكال وإدراج الملحق ط صراحةً</x:v>
      </x:c>
      <x:c r="E29" s="19" t="str">
        <x:v>ط يأتي بعد انتهى البحث وعناوينه Normal؛ فهرس Word لا يكفي لاكتشافه</x:v>
      </x:c>
      <x:c r="F29" s="19" t="str">
        <x:v>P0404؛P0406–P0485؛T003</x:v>
      </x:c>
      <x:c r="G29" s="19" t="str">
        <x:v>appendices/index.html</x:v>
      </x:c>
      <x:c r="H29" s="19" t="str">
        <x:v>فهرس الملاحق والأشكال الإلكترونية وربط الأشكال التسعة؛ تصحيح بطاقة تعريف التطبيق مع سجل التعديل</x:v>
      </x:c>
      <x:c r="I29" s="19" t="str">
        <x:v>٣/٧</x:v>
      </x:c>
      <x:c r="J29" s="19" t="str">
        <x:v>تحرير الموقع</x:v>
      </x:c>
      <x:c r="K29" s="20" t="str">
        <x:v>مفتوح</x:v>
      </x:c>
    </x:row>
  </x:sheetData>
  <x:mergeCells>
    <x:mergeCell ref="A1:E1"/>
    <x:mergeCell ref="A2:E2"/>
    <x:mergeCell ref="A3:E3"/>
  </x:mergeCells>
  <x:dataValidations count="1">
    <x:dataValidation type="list" sqref="K6:K29">
      <x:formula1>"مفتوح,قيد الاستكمال,مكتمل,غير متاح"</x:formula1>
    </x:dataValidation>
  </x:dataValidations>
  <x:pageMargins left="0.7" right="0.7" top="0.75" bottom="0.75" header="0.3" footer="0.3"/>
  <x:tableParts count="1">
    <x:tablePart xmlns:r="http://schemas.openxmlformats.org/officeDocument/2006/relationships" r:id="Rcdd6802b7e214888"/>
  </x:tableParts>
</x:worksheet>
</file>

<file path=xl/worksheets/sheet8.xml><?xml version="1.0" encoding="utf-8"?>
<x:worksheet xmlns:x="http://schemas.openxmlformats.org/spreadsheetml/2006/main">
  <x:sheetPr>
    <x:tabColor rgb="FF23364D"/>
  </x:sheetPr>
  <x:sheetViews>
    <x:sheetView showGridLines="0" workbookViewId="0">
      <x:pane xSplit="1" ySplit="5" topLeftCell="B6" activePane="bottomRight" state="frozen"/>
    </x:sheetView>
  </x:sheetViews>
  <x:sheetFormatPr defaultRowHeight="15"/>
  <x:cols>
    <x:col min="1" max="1" width="11.670000076293945" hidden="0" customWidth="1"/>
    <x:col min="2" max="2" width="15" hidden="0" customWidth="1"/>
    <x:col min="3" max="3" width="93.33000183105469" hidden="0" customWidth="1"/>
    <x:col min="4" max="4" width="78.88999938964844" hidden="0" customWidth="1"/>
    <x:col min="5" max="5" width="13.329999923706055" hidden="0" customWidth="1"/>
    <x:col min="6" max="6" width="48.88999938964844" hidden="0" customWidth="1"/>
    <x:col min="7" max="7" width="57.779998779296875" hidden="0" customWidth="1"/>
  </x:cols>
  <x:sheetData>
    <x:row r="1" ht="34" customHeight="1">
      <x:c r="A1" s="5" t="str">
        <x:v>المراجع — مختبر الهندسة بالواقع الافتراضي</x:v>
      </x:c>
      <x:c r="B1" s="5"/>
      <x:c r="C1" s="5"/>
      <x:c r="D1" s="5"/>
      <x:c r="E1" s="5"/>
      <x:c r="F1" s="4"/>
      <x:c r="G1" s="4"/>
    </x:row>
    <x:row r="2" ht="35" customHeight="1">
      <x:c r="A2" s="4" t="str">
        <x:v>المسارات مقترحة داخل الموقع؛ السجل يحتفظ بالأصل والتكرارات وملاحظات الاستكمال.</x:v>
      </x:c>
      <x:c r="B2" s="4"/>
      <x:c r="C2" s="4"/>
      <x:c r="D2" s="4"/>
      <x:c r="E2" s="4"/>
      <x:c r="F2" s="4"/>
      <x:c r="G2" s="4"/>
    </x:row>
    <x:row r="3" ht="30" customHeight="1">
      <x:c r="A3" s="4" t="str">
        <x:v>تاريخ الجرد: 2026-10-04. تُترك البيانات غير المعروفة صريحة دون استنتاج الإصدار من اسم الملف.</x:v>
      </x:c>
      <x:c r="B3" s="4"/>
      <x:c r="C3" s="4"/>
      <x:c r="D3" s="4"/>
      <x:c r="E3" s="4"/>
      <x:c r="F3" s="4"/>
      <x:c r="G3" s="4"/>
    </x:row>
    <x:row r="4">
      <x:c r="A4" s="4"/>
      <x:c r="B4" s="4"/>
      <x:c r="C4" s="4"/>
      <x:c r="D4" s="4"/>
      <x:c r="E4" s="4"/>
      <x:c r="F4" s="4"/>
      <x:c r="G4" s="4"/>
    </x:row>
    <x:row r="5" ht="38" customHeight="1">
      <x:c r="A5" s="9" t="str">
        <x:v>المعرف</x:v>
      </x:c>
      <x:c r="B5" s="10" t="str">
        <x:v>النوع</x:v>
      </x:c>
      <x:c r="C5" s="10" t="str">
        <x:v>نص المرجع كما في البحث</x:v>
      </x:c>
      <x:c r="D5" s="10" t="str">
        <x:v>رابط DOI أو المصدر</x:v>
      </x:c>
      <x:c r="E5" s="10" t="str">
        <x:v>موضع المصدر</x:v>
      </x:c>
      <x:c r="F5" s="10" t="str">
        <x:v>الرابط الداخلي المقترح</x:v>
      </x:c>
      <x:c r="G5" s="11" t="str">
        <x:v>حالة التحقق</x:v>
      </x:c>
    </x:row>
    <x:row r="6" ht="36" hidden="0" customHeight="1">
      <x:c r="A6" s="21" t="str">
        <x:v>REF-001</x:v>
      </x:c>
      <x:c r="B6" s="13" t="str">
        <x:v>علمي</x:v>
      </x:c>
      <x:c r="C6" s="52" t="str">
        <x:v>Abutayeh, K. A., Kraishan, O. M., &amp; Kraishan, E. Q. (2022). The use of virtual and augmented reality in science and math education in Arab countries: A survey of previous research studies. Frontiers in Education, 7, 979291. https://doi.org/10.3389/feduc.2022.979291</x:v>
      </x:c>
      <x:c r="D6" s="52" t="str">
        <x:v>https://doi.org/10.3389/feduc.2022.979291</x:v>
      </x:c>
      <x:c r="E6" s="13" t="str">
        <x:v>P0317</x:v>
      </x:c>
      <x:c r="F6" s="13" t="str">
        <x:v>references/index.html#ref-001</x:v>
      </x:c>
      <x:c r="G6" s="14" t="str">
        <x:v>منقول من البحث؛ صحة البيانات والرابط تحتاج فحصًا في مرحلة المراجع</x:v>
      </x:c>
    </x:row>
    <x:row r="7" ht="24" hidden="0" customHeight="1">
      <x:c r="A7" s="22" t="str">
        <x:v>REF-002</x:v>
      </x:c>
      <x:c r="B7" s="16" t="str">
        <x:v>علمي</x:v>
      </x:c>
      <x:c r="C7" s="53" t="str">
        <x:v>Alobaid, M., Young, G. W., &amp; Manzke, M. (2025). Immersive virtual reality for developing spatial skills in learning 3D transformations in computer graphics. Eurographics 2025 - Education Papers. https://doi.org/10.2312/eged.20251015</x:v>
      </x:c>
      <x:c r="D7" s="53" t="str">
        <x:v>https://doi.org/10.2312/eged.20251015</x:v>
      </x:c>
      <x:c r="E7" s="16" t="str">
        <x:v>P0318</x:v>
      </x:c>
      <x:c r="F7" s="16" t="str">
        <x:v>references/index.html#ref-002</x:v>
      </x:c>
      <x:c r="G7" s="17" t="str">
        <x:v>منقول من البحث؛ صحة البيانات والرابط تحتاج فحصًا في مرحلة المراجع</x:v>
      </x:c>
    </x:row>
    <x:row r="8" ht="15" hidden="0" customHeight="1">
      <x:c r="A8" s="21" t="str">
        <x:v>REF-003</x:v>
      </x:c>
      <x:c r="B8" s="13" t="str">
        <x:v>علمي</x:v>
      </x:c>
      <x:c r="C8" s="52" t="str">
        <x:v>Branch, R. M. (2009). Instructional design: The ADDIE approach. Springer. https://doi.org/10.1007/978-0-387-09506-6</x:v>
      </x:c>
      <x:c r="D8" s="52" t="str">
        <x:v>https://doi.org/10.1007/978-0-387-09506-6</x:v>
      </x:c>
      <x:c r="E8" s="13" t="str">
        <x:v>P0319</x:v>
      </x:c>
      <x:c r="F8" s="13" t="str">
        <x:v>references/index.html#ref-003</x:v>
      </x:c>
      <x:c r="G8" s="14" t="str">
        <x:v>منقول من البحث؛ صحة البيانات والرابط تحتاج فحصًا في مرحلة المراجع</x:v>
      </x:c>
    </x:row>
    <x:row r="9" ht="24" hidden="0" customHeight="1">
      <x:c r="A9" s="22" t="str">
        <x:v>REF-004</x:v>
      </x:c>
      <x:c r="B9" s="16" t="str">
        <x:v>علمي</x:v>
      </x:c>
      <x:c r="C9" s="53" t="str">
        <x:v>Dalgarno, B., &amp; Lee, M. J. W. (2010). What are the learning affordances of 3-D virtual environments? British Journal of Educational Technology, 41(1), 10-32. https://doi.org/10.1111/j.1467-8535.2009.01024.x</x:v>
      </x:c>
      <x:c r="D9" s="53" t="str">
        <x:v>https://doi.org/10.1111/j.1467-8535.2009.01024.x</x:v>
      </x:c>
      <x:c r="E9" s="16" t="str">
        <x:v>P0320</x:v>
      </x:c>
      <x:c r="F9" s="16" t="str">
        <x:v>references/index.html#ref-004</x:v>
      </x:c>
      <x:c r="G9" s="17" t="str">
        <x:v>منقول من البحث؛ صحة البيانات والرابط تحتاج فحصًا في مرحلة المراجع</x:v>
      </x:c>
    </x:row>
    <x:row r="10" ht="24" hidden="0" customHeight="1">
      <x:c r="A10" s="21" t="str">
        <x:v>REF-005</x:v>
      </x:c>
      <x:c r="B10" s="13" t="str">
        <x:v>علمي</x:v>
      </x:c>
      <x:c r="C10" s="52" t="str">
        <x:v>Domínguez Vázquez, B. C., &amp; Díaz Palencia, J. L. (2024). A classroom experience for teaching and learning of high school geometry through virtual reality. Pedagogical Research, 9(3), em0210. https://doi.org/10.29333/pr/14634</x:v>
      </x:c>
      <x:c r="D10" s="52" t="str">
        <x:v>https://doi.org/10.29333/pr/14634</x:v>
      </x:c>
      <x:c r="E10" s="13" t="str">
        <x:v>P0321</x:v>
      </x:c>
      <x:c r="F10" s="13" t="str">
        <x:v>references/index.html#ref-005</x:v>
      </x:c>
      <x:c r="G10" s="14" t="str">
        <x:v>منقول من البحث؛ صحة البيانات والرابط تحتاج فحصًا في مرحلة المراجع</x:v>
      </x:c>
    </x:row>
    <x:row r="11" ht="36" hidden="0" customHeight="1">
      <x:c r="A11" s="22" t="str">
        <x:v>REF-006</x:v>
      </x:c>
      <x:c r="B11" s="16" t="str">
        <x:v>علمي</x:v>
      </x:c>
      <x:c r="C11" s="53" t="str">
        <x:v>Hamilton, D., McKechnie, J., Edgerton, E., &amp; Wilson, C. (2021). Immersive virtual reality as a pedagogical tool in education: A systematic literature review of quantitative learning outcomes and experimental design. Journal of Computers in Education, 8, 1-32. https://doi.org/10.1007/s40692-020-00169-2</x:v>
      </x:c>
      <x:c r="D11" s="53" t="str">
        <x:v>https://doi.org/10.1007/s40692-020-00169-2</x:v>
      </x:c>
      <x:c r="E11" s="16" t="str">
        <x:v>P0322</x:v>
      </x:c>
      <x:c r="F11" s="16" t="str">
        <x:v>references/index.html#ref-006</x:v>
      </x:c>
      <x:c r="G11" s="17" t="str">
        <x:v>منقول من البحث؛ صحة البيانات والرابط تحتاج فحصًا في مرحلة المراجع</x:v>
      </x:c>
    </x:row>
    <x:row r="12" ht="24" hidden="0" customHeight="1">
      <x:c r="A12" s="21" t="str">
        <x:v>REF-007</x:v>
      </x:c>
      <x:c r="B12" s="13" t="str">
        <x:v>علمي</x:v>
      </x:c>
      <x:c r="C12" s="52" t="str">
        <x:v>Johnson-Glenberg, M. C. (2018). Immersive VR and education: Embodied design principles that include gesture and hand controls. Frontiers in Robotics and AI, 5, 81. https://doi.org/10.3389/frobt.2018.00081</x:v>
      </x:c>
      <x:c r="D12" s="52" t="str">
        <x:v>https://doi.org/10.3389/frobt.2018.00081</x:v>
      </x:c>
      <x:c r="E12" s="13" t="str">
        <x:v>P0323</x:v>
      </x:c>
      <x:c r="F12" s="13" t="str">
        <x:v>references/index.html#ref-007</x:v>
      </x:c>
      <x:c r="G12" s="14" t="str">
        <x:v>منقول من البحث؛ صحة البيانات والرابط تحتاج فحصًا في مرحلة المراجع</x:v>
      </x:c>
    </x:row>
    <x:row r="13" ht="15" hidden="0" customHeight="1">
      <x:c r="A13" s="22" t="str">
        <x:v>REF-008</x:v>
      </x:c>
      <x:c r="B13" s="16" t="str">
        <x:v>علمي</x:v>
      </x:c>
      <x:c r="C13" s="53" t="str">
        <x:v>Kolb, D. A. (1984). Experiential learning: Experience as the source of learning and development. Prentice Hall.</x:v>
      </x:c>
      <x:c r="D13" s="53" t="str"/>
      <x:c r="E13" s="16" t="str">
        <x:v>P0324</x:v>
      </x:c>
      <x:c r="F13" s="16" t="str">
        <x:v>references/index.html#ref-008</x:v>
      </x:c>
      <x:c r="G13" s="17" t="str">
        <x:v>منقول من البحث؛ صحة البيانات والرابط تحتاج فحصًا في مرحلة المراجع</x:v>
      </x:c>
    </x:row>
    <x:row r="14" ht="36" hidden="0" customHeight="1">
      <x:c r="A14" s="21" t="str">
        <x:v>REF-009</x:v>
      </x:c>
      <x:c r="B14" s="13" t="str">
        <x:v>علمي</x:v>
      </x:c>
      <x:c r="C14" s="52" t="str">
        <x:v>Makransky, G., &amp; Petersen, G. B. (2021). The cognitive affective model of immersive learning (CAMIL): A theoretical research-based model of learning in immersive virtual reality. Educational Psychology Review, 33, 937-958. https://doi.org/10.1007/s10648-020-09586-2</x:v>
      </x:c>
      <x:c r="D14" s="52" t="str">
        <x:v>https://doi.org/10.1007/s10648-020-09586-2</x:v>
      </x:c>
      <x:c r="E14" s="13" t="str">
        <x:v>P0325</x:v>
      </x:c>
      <x:c r="F14" s="13" t="str">
        <x:v>references/index.html#ref-009</x:v>
      </x:c>
      <x:c r="G14" s="14" t="str">
        <x:v>منقول من البحث؛ صحة البيانات والرابط تحتاج فحصًا في مرحلة المراجع</x:v>
      </x:c>
    </x:row>
    <x:row r="15" ht="15" hidden="0" customHeight="1">
      <x:c r="A15" s="22" t="str">
        <x:v>REF-010</x:v>
      </x:c>
      <x:c r="B15" s="16" t="str">
        <x:v>علمي</x:v>
      </x:c>
      <x:c r="C15" s="53" t="str">
        <x:v>Mayer, R. E. (2009). Multimedia learning (2nd ed.). Cambridge University Press.</x:v>
      </x:c>
      <x:c r="D15" s="53" t="str"/>
      <x:c r="E15" s="16" t="str">
        <x:v>P0326</x:v>
      </x:c>
      <x:c r="F15" s="16" t="str">
        <x:v>references/index.html#ref-010</x:v>
      </x:c>
      <x:c r="G15" s="17" t="str">
        <x:v>منقول من البحث؛ صحة البيانات والرابط تحتاج فحصًا في مرحلة المراجع</x:v>
      </x:c>
    </x:row>
    <x:row r="16" ht="36" hidden="0" customHeight="1">
      <x:c r="A16" s="21" t="str">
        <x:v>REF-011</x:v>
      </x:c>
      <x:c r="B16" s="13" t="str">
        <x:v>علمي</x:v>
      </x:c>
      <x:c r="C16" s="52" t="str">
        <x:v>Merchant, Z., Goetz, E. T., Cifuentes, L., Keeney-Kennicutt, W., &amp; Davis, T. J. (2014). Effectiveness of virtual reality-based instruction on students' learning outcomes in K-12 and higher education: A meta-analysis. Computers &amp; Education, 70, 29-40. https://doi.org/10.1016/j.compedu.2013.07.033</x:v>
      </x:c>
      <x:c r="D16" s="52" t="str">
        <x:v>https://doi.org/10.1016/j.compedu.2013.07.033</x:v>
      </x:c>
      <x:c r="E16" s="13" t="str">
        <x:v>P0327</x:v>
      </x:c>
      <x:c r="F16" s="13" t="str">
        <x:v>references/index.html#ref-011</x:v>
      </x:c>
      <x:c r="G16" s="14" t="str">
        <x:v>منقول من البحث؛ صحة البيانات والرابط تحتاج فحصًا في مرحلة المراجع</x:v>
      </x:c>
    </x:row>
    <x:row r="17" ht="36" hidden="0" customHeight="1">
      <x:c r="A17" s="22" t="str">
        <x:v>REF-012</x:v>
      </x:c>
      <x:c r="B17" s="16" t="str">
        <x:v>علمي</x:v>
      </x:c>
      <x:c r="C17" s="53" t="str">
        <x:v>Meyer, O. A., Omdahl, M. K., &amp; Makransky, G. (2019). Investigating the effect of pre-training when learning through immersive virtual reality and video: A media and methods experiment. Computers &amp; Education, 140, 103603. https://doi.org/10.1016/j.compedu.2019.103603</x:v>
      </x:c>
      <x:c r="D17" s="53" t="str">
        <x:v>https://doi.org/10.1016/j.compedu.2019.103603</x:v>
      </x:c>
      <x:c r="E17" s="16" t="str">
        <x:v>P0328</x:v>
      </x:c>
      <x:c r="F17" s="16" t="str">
        <x:v>references/index.html#ref-012</x:v>
      </x:c>
      <x:c r="G17" s="17" t="str">
        <x:v>منقول من البحث؛ صحة البيانات والرابط تحتاج فحصًا في مرحلة المراجع</x:v>
      </x:c>
    </x:row>
    <x:row r="18" ht="24" hidden="0" customHeight="1">
      <x:c r="A18" s="21" t="str">
        <x:v>REF-013</x:v>
      </x:c>
      <x:c r="B18" s="13" t="str">
        <x:v>علمي</x:v>
      </x:c>
      <x:c r="C18" s="52" t="str">
        <x:v>Parong, J., &amp; Mayer, R. E. (2018). Learning science in immersive virtual reality. Journal of Educational Psychology, 110(6), 785-797. https://doi.org/10.1037/edu0000241</x:v>
      </x:c>
      <x:c r="D18" s="52" t="str">
        <x:v>https://doi.org/10.1037/edu0000241</x:v>
      </x:c>
      <x:c r="E18" s="13" t="str">
        <x:v>P0329</x:v>
      </x:c>
      <x:c r="F18" s="13" t="str">
        <x:v>references/index.html#ref-013</x:v>
      </x:c>
      <x:c r="G18" s="14" t="str">
        <x:v>منقول من البحث؛ صحة البيانات والرابط تحتاج فحصًا في مرحلة المراجع</x:v>
      </x:c>
    </x:row>
    <x:row r="19" ht="36" hidden="0" customHeight="1">
      <x:c r="A19" s="22" t="str">
        <x:v>REF-014</x:v>
      </x:c>
      <x:c r="B19" s="16" t="str">
        <x:v>علمي</x:v>
      </x:c>
      <x:c r="C19" s="53" t="str">
        <x:v>Radianti, J., Majchrzak, T. A., Fromm, J., &amp; Wohlgenannt, I. (2020). A systematic review of immersive virtual reality applications for higher education: Design elements, lessons learned, and research agenda. Computers &amp; Education, 147, 103778. https://doi.org/10.1016/j.compedu.2019.103778</x:v>
      </x:c>
      <x:c r="D19" s="53" t="str">
        <x:v>https://doi.org/10.1016/j.compedu.2019.103778</x:v>
      </x:c>
      <x:c r="E19" s="16" t="str">
        <x:v>P0330</x:v>
      </x:c>
      <x:c r="F19" s="16" t="str">
        <x:v>references/index.html#ref-014</x:v>
      </x:c>
      <x:c r="G19" s="17" t="str">
        <x:v>منقول من البحث؛ صحة البيانات والرابط تحتاج فحصًا في مرحلة المراجع</x:v>
      </x:c>
    </x:row>
    <x:row r="20" ht="24" hidden="0" customHeight="1">
      <x:c r="A20" s="21" t="str">
        <x:v>REF-015</x:v>
      </x:c>
      <x:c r="B20" s="13" t="str">
        <x:v>علمي</x:v>
      </x:c>
      <x:c r="C20" s="52" t="str">
        <x:v>Richey, R. C., &amp; Klein, J. D. (2007). Design and development research: Methods, strategies, and issues. Lawrence Erlbaum Associates.</x:v>
      </x:c>
      <x:c r="D20" s="52" t="str"/>
      <x:c r="E20" s="13" t="str">
        <x:v>P0331</x:v>
      </x:c>
      <x:c r="F20" s="13" t="str">
        <x:v>references/index.html#ref-015</x:v>
      </x:c>
      <x:c r="G20" s="14" t="str">
        <x:v>منقول من البحث؛ صحة البيانات والرابط تحتاج فحصًا في مرحلة المراجع</x:v>
      </x:c>
    </x:row>
    <x:row r="21" ht="24" hidden="0" customHeight="1">
      <x:c r="A21" s="22" t="str">
        <x:v>REF-016</x:v>
      </x:c>
      <x:c r="B21" s="16" t="str">
        <x:v>علمي</x:v>
      </x:c>
      <x:c r="C21" s="53" t="str">
        <x:v>Rodríguez, J. L., Romero, I., &amp; Codina, A. (2021). The influence of NeoTrie VR's immersive virtual reality on the teaching and learning of geometry. Mathematics, 9(19), 2411. https://doi.org/10.3390/math9192411</x:v>
      </x:c>
      <x:c r="D21" s="53" t="str">
        <x:v>https://doi.org/10.3390/math9192411</x:v>
      </x:c>
      <x:c r="E21" s="16" t="str">
        <x:v>P0332</x:v>
      </x:c>
      <x:c r="F21" s="16" t="str">
        <x:v>references/index.html#ref-016</x:v>
      </x:c>
      <x:c r="G21" s="17" t="str">
        <x:v>منقول من البحث؛ صحة البيانات والرابط تحتاج فحصًا في مرحلة المراجع</x:v>
      </x:c>
    </x:row>
    <x:row r="22" ht="24" hidden="0" customHeight="1">
      <x:c r="A22" s="21" t="str">
        <x:v>REF-017</x:v>
      </x:c>
      <x:c r="B22" s="13" t="str">
        <x:v>علمي</x:v>
      </x:c>
      <x:c r="C22" s="52" t="str">
        <x:v>Slater, M., &amp; Wilbur, S. (1997). A framework for immersive virtual environments (FIVE): Speculations on the role of presence in virtual environments. Presence, 6(6), 603-616. https://doi.org/10.1162/pres.1997.6.6.603</x:v>
      </x:c>
      <x:c r="D22" s="52" t="str">
        <x:v>https://doi.org/10.1162/pres.1997.6.6.603</x:v>
      </x:c>
      <x:c r="E22" s="13" t="str">
        <x:v>P0333</x:v>
      </x:c>
      <x:c r="F22" s="13" t="str">
        <x:v>references/index.html#ref-017</x:v>
      </x:c>
      <x:c r="G22" s="14" t="str">
        <x:v>منقول من البحث؛ صحة البيانات والرابط تحتاج فحصًا في مرحلة المراجع</x:v>
      </x:c>
    </x:row>
    <x:row r="23" ht="24" hidden="0" customHeight="1">
      <x:c r="A23" s="22" t="str">
        <x:v>REF-018</x:v>
      </x:c>
      <x:c r="B23" s="16" t="str">
        <x:v>علمي</x:v>
      </x:c>
      <x:c r="C23" s="53" t="str">
        <x:v>Su, Y.-S., Cheng, H.-W., &amp; Lai, C.-F. (2022). Study of virtual reality immersive technology enhanced mathematics geometry learning. Frontiers in Psychology, 13, 760418. https://doi.org/10.3389/fpsyg.2022.760418</x:v>
      </x:c>
      <x:c r="D23" s="53" t="str">
        <x:v>https://doi.org/10.3389/fpsyg.2022.760418</x:v>
      </x:c>
      <x:c r="E23" s="16" t="str">
        <x:v>P0334</x:v>
      </x:c>
      <x:c r="F23" s="16" t="str">
        <x:v>references/index.html#ref-018</x:v>
      </x:c>
      <x:c r="G23" s="17" t="str">
        <x:v>منقول من البحث؛ صحة البيانات والرابط تحتاج فحصًا في مرحلة المراجع</x:v>
      </x:c>
    </x:row>
    <x:row r="24" ht="24" hidden="0" customHeight="1">
      <x:c r="A24" s="21" t="str">
        <x:v>REF-019</x:v>
      </x:c>
      <x:c r="B24" s="13" t="str">
        <x:v>علمي</x:v>
      </x:c>
      <x:c r="C24" s="52" t="str">
        <x:v>Sweller, J. (1988). Cognitive load during problem solving: Effects on learning. Cognitive Science, 12(2), 257-285. https://doi.org/10.1207/s15516709cog1202_4</x:v>
      </x:c>
      <x:c r="D24" s="52" t="str">
        <x:v>https://doi.org/10.1207/s15516709cog1202_4</x:v>
      </x:c>
      <x:c r="E24" s="13" t="str">
        <x:v>P0335</x:v>
      </x:c>
      <x:c r="F24" s="13" t="str">
        <x:v>references/index.html#ref-019</x:v>
      </x:c>
      <x:c r="G24" s="14" t="str">
        <x:v>منقول من البحث؛ صحة البيانات والرابط تحتاج فحصًا في مرحلة المراجع</x:v>
      </x:c>
    </x:row>
    <x:row r="25" ht="24" hidden="0" customHeight="1">
      <x:c r="A25" s="22" t="str">
        <x:v>REF-020</x:v>
      </x:c>
      <x:c r="B25" s="16" t="str">
        <x:v>علمي</x:v>
      </x:c>
      <x:c r="C25" s="53" t="str">
        <x:v>Uttal, D. H., &amp; Cohen, C. A. (2012). Spatial thinking and STEM education: When, why, and how? Psychology of Learning and Motivation, 57, 147-181. https://doi.org/10.1016/B978-0-12-394293-7.00004-2</x:v>
      </x:c>
      <x:c r="D25" s="53" t="str">
        <x:v>https://doi.org/10.1016/B978-0-12-394293-7.00004-2</x:v>
      </x:c>
      <x:c r="E25" s="16" t="str">
        <x:v>P0336</x:v>
      </x:c>
      <x:c r="F25" s="16" t="str">
        <x:v>references/index.html#ref-020</x:v>
      </x:c>
      <x:c r="G25" s="17" t="str">
        <x:v>منقول من البحث؛ صحة البيانات والرابط تحتاج فحصًا في مرحلة المراجع</x:v>
      </x:c>
    </x:row>
    <x:row r="26" ht="24" hidden="0" customHeight="1">
      <x:c r="A26" s="21" t="str">
        <x:v>REF-021</x:v>
      </x:c>
      <x:c r="B26" s="13" t="str">
        <x:v>علمي</x:v>
      </x:c>
      <x:c r="C26" s="52" t="str">
        <x:v>Uttal, D. H., Meadow, N. G., Tipton, E., Hand, L. L., Alden, A. R., Warren, C., &amp; Newcombe, N. S. (2013). The malleability of spatial skills: A meta-analysis of training studies. Psychological Bulletin, 139(2), 352-402. https://doi.org/10.1037/a0028446</x:v>
      </x:c>
      <x:c r="D26" s="52" t="str">
        <x:v>https://doi.org/10.1037/a0028446</x:v>
      </x:c>
      <x:c r="E26" s="13" t="str">
        <x:v>P0337</x:v>
      </x:c>
      <x:c r="F26" s="13" t="str">
        <x:v>references/index.html#ref-021</x:v>
      </x:c>
      <x:c r="G26" s="14" t="str">
        <x:v>منقول من البحث؛ صحة البيانات والرابط تحتاج فحصًا في مرحلة المراجع</x:v>
      </x:c>
    </x:row>
    <x:row r="27" ht="24" hidden="0" customHeight="1">
      <x:c r="A27" s="22" t="str">
        <x:v>REF-022</x:v>
      </x:c>
      <x:c r="B27" s="16" t="str">
        <x:v>تقني/منتج</x:v>
      </x:c>
      <x:c r="C27" s="53" t="str">
        <x:v>Unity Technologies. (2026a). OpenXR Plugin - Unity Manual. https://docs.unity3d.com/6000.0/Documentation/Manual/com.unity.xr.openxr.html</x:v>
      </x:c>
      <x:c r="D27" s="53" t="str">
        <x:v>https://docs.unity3d.com/6000.0/Documentation/Manual/com.unity.xr.openxr.html</x:v>
      </x:c>
      <x:c r="E27" s="16" t="str">
        <x:v>P0339</x:v>
      </x:c>
      <x:c r="F27" s="16" t="str">
        <x:v>references/index.html#ref-022</x:v>
      </x:c>
      <x:c r="G27" s="17" t="str">
        <x:v>منقول من البحث؛ صحة البيانات والرابط تحتاج فحصًا في مرحلة المراجع</x:v>
      </x:c>
    </x:row>
    <x:row r="28" ht="24" hidden="0" customHeight="1">
      <x:c r="A28" s="21" t="str">
        <x:v>REF-023</x:v>
      </x:c>
      <x:c r="B28" s="13" t="str">
        <x:v>تقني/منتج</x:v>
      </x:c>
      <x:c r="C28" s="52" t="str">
        <x:v>Unity Technologies. (2026b). Locomotion overview - XR Interaction Toolkit. https://docs.unity3d.com/Packages/com.unity.xr.interaction.toolkit@3.0/manual/locomotion.html</x:v>
      </x:c>
      <x:c r="D28" s="52" t="str">
        <x:v>https://docs.unity3d.com/Packages/com.unity.xr.interaction.toolkit@3.0/manual/locomotion.html</x:v>
      </x:c>
      <x:c r="E28" s="13" t="str">
        <x:v>P0340</x:v>
      </x:c>
      <x:c r="F28" s="13" t="str">
        <x:v>references/index.html#ref-023</x:v>
      </x:c>
      <x:c r="G28" s="14" t="str">
        <x:v>منقول من البحث؛ صحة البيانات والرابط تحتاج فحصًا في مرحلة المراجع</x:v>
      </x:c>
    </x:row>
    <x:row r="29" ht="24" hidden="0" customHeight="1">
      <x:c r="A29" s="22" t="str">
        <x:v>REF-024</x:v>
      </x:c>
      <x:c r="B29" s="16" t="str">
        <x:v>تقني/منتج</x:v>
      </x:c>
      <x:c r="C29" s="53" t="str">
        <x:v>Unity Technologies. (2026c). XR Interaction Toolkit. https://docs.unity3d.com/Packages/com.unity.xr.interaction.toolkit@3.0/manual/</x:v>
      </x:c>
      <x:c r="D29" s="53" t="str">
        <x:v>https://docs.unity3d.com/Packages/com.unity.xr.interaction.toolkit@3.0/manual/</x:v>
      </x:c>
      <x:c r="E29" s="16" t="str">
        <x:v>P0341</x:v>
      </x:c>
      <x:c r="F29" s="16" t="str">
        <x:v>references/index.html#ref-024</x:v>
      </x:c>
      <x:c r="G29" s="17" t="str">
        <x:v>منقول من البحث؛ صحة البيانات والرابط تحتاج فحصًا في مرحلة المراجع</x:v>
      </x:c>
    </x:row>
    <x:row r="30" ht="15" hidden="0" customHeight="1">
      <x:c r="A30" s="21" t="str">
        <x:v>REF-025</x:v>
      </x:c>
      <x:c r="B30" s="13" t="str">
        <x:v>تقني/منتج</x:v>
      </x:c>
      <x:c r="C30" s="52" t="str">
        <x:v>Meta. (2026a). Submitting your app. https://developers.meta.com/horizon/resources/publish-submit/</x:v>
      </x:c>
      <x:c r="D30" s="52" t="str">
        <x:v>https://developers.meta.com/horizon/resources/publish-submit/</x:v>
      </x:c>
      <x:c r="E30" s="13" t="str">
        <x:v>P0342</x:v>
      </x:c>
      <x:c r="F30" s="13" t="str">
        <x:v>references/index.html#ref-025</x:v>
      </x:c>
      <x:c r="G30" s="14" t="str">
        <x:v>منقول من البحث؛ صحة البيانات والرابط تحتاج فحصًا في مرحلة المراجع</x:v>
      </x:c>
    </x:row>
    <x:row r="31" ht="24" hidden="0" customHeight="1">
      <x:c r="A31" s="22" t="str">
        <x:v>REF-026</x:v>
      </x:c>
      <x:c r="B31" s="16" t="str">
        <x:v>تقني/منتج</x:v>
      </x:c>
      <x:c r="C31" s="53" t="str">
        <x:v>Meta. (2026b). Meta Quest Virtual Reality Check (VRC) guidelines. https://developers.meta.com/horizon/resources/publish-quest-req/</x:v>
      </x:c>
      <x:c r="D31" s="53" t="str">
        <x:v>https://developers.meta.com/horizon/resources/publish-quest-req/</x:v>
      </x:c>
      <x:c r="E31" s="16" t="str">
        <x:v>P0343</x:v>
      </x:c>
      <x:c r="F31" s="16" t="str">
        <x:v>references/index.html#ref-026</x:v>
      </x:c>
      <x:c r="G31" s="17" t="str">
        <x:v>منقول من البحث؛ صحة البيانات والرابط تحتاج فحصًا في مرحلة المراجع</x:v>
      </x:c>
    </x:row>
    <x:row r="32" ht="24" hidden="0" customHeight="1">
      <x:c r="A32" s="21" t="str">
        <x:v>REF-027</x:v>
      </x:c>
      <x:c r="B32" s="13" t="str">
        <x:v>تقني/منتج</x:v>
      </x:c>
      <x:c r="C32" s="52" t="str">
        <x:v>Meta. (2026c). Prepare your app for publishing. https://developers.meta.com/horizon/documentation/unity/unity-prepare-for-publish/</x:v>
      </x:c>
      <x:c r="D32" s="52" t="str">
        <x:v>https://developers.meta.com/horizon/documentation/unity/unity-prepare-for-publish/</x:v>
      </x:c>
      <x:c r="E32" s="13" t="str">
        <x:v>P0344</x:v>
      </x:c>
      <x:c r="F32" s="13" t="str">
        <x:v>references/index.html#ref-027</x:v>
      </x:c>
      <x:c r="G32" s="14" t="str">
        <x:v>منقول من البحث؛ صحة البيانات والرابط تحتاج فحصًا في مرحلة المراجع</x:v>
      </x:c>
    </x:row>
    <x:row r="33" ht="15" hidden="0" customHeight="1">
      <x:c r="A33" s="22" t="str">
        <x:v>REF-028</x:v>
      </x:c>
      <x:c r="B33" s="16" t="str">
        <x:v>تقني/منتج</x:v>
      </x:c>
      <x:c r="C33" s="53" t="str">
        <x:v>Meta. (2026d). NeoTrie VR on Meta Quest. https://www.meta.com/experiences/neotrie-vr/4121567677901213/</x:v>
      </x:c>
      <x:c r="D33" s="53" t="str">
        <x:v>https://www.meta.com/experiences/neotrie-vr/4121567677901213/</x:v>
      </x:c>
      <x:c r="E33" s="16" t="str">
        <x:v>P0345</x:v>
      </x:c>
      <x:c r="F33" s="16" t="str">
        <x:v>references/index.html#ref-028</x:v>
      </x:c>
      <x:c r="G33" s="17" t="str">
        <x:v>منقول من البحث؛ صحة البيانات والرابط تحتاج فحصًا في مرحلة المراجع</x:v>
      </x:c>
    </x:row>
    <x:row r="34" ht="24" hidden="0" customHeight="1">
      <x:c r="A34" s="21" t="str">
        <x:v>REF-029</x:v>
      </x:c>
      <x:c r="B34" s="13" t="str">
        <x:v>تقني/منتج</x:v>
      </x:c>
      <x:c r="C34" s="52" t="str">
        <x:v>Meta. (2026e). Construct3D on Meta Quest (Early Access). https://www.meta.com/experiences/construct3d/26826040057087827/</x:v>
      </x:c>
      <x:c r="D34" s="52" t="str">
        <x:v>https://www.meta.com/experiences/construct3d/26826040057087827/</x:v>
      </x:c>
      <x:c r="E34" s="13" t="str">
        <x:v>P0346</x:v>
      </x:c>
      <x:c r="F34" s="13" t="str">
        <x:v>references/index.html#ref-029</x:v>
      </x:c>
      <x:c r="G34" s="14" t="str">
        <x:v>منقول من البحث؛ صحة البيانات والرابط تحتاج فحصًا في مرحلة المراجع</x:v>
      </x:c>
    </x:row>
    <x:row r="35" ht="15" hidden="0" customHeight="1">
      <x:c r="A35" s="22" t="str">
        <x:v>REF-030</x:v>
      </x:c>
      <x:c r="B35" s="16" t="str">
        <x:v>تقني/منتج</x:v>
      </x:c>
      <x:c r="C35" s="53" t="str">
        <x:v>Valve. (2026). NeoTrie VR Multiplayer on Steam. https://store.steampowered.com/app/878620/Neotrie_VR_Multiplayer/</x:v>
      </x:c>
      <x:c r="D35" s="53" t="str">
        <x:v>https://store.steampowered.com/app/878620/Neotrie_VR_Multiplayer/</x:v>
      </x:c>
      <x:c r="E35" s="16" t="str">
        <x:v>P0347</x:v>
      </x:c>
      <x:c r="F35" s="16" t="str">
        <x:v>references/index.html#ref-030</x:v>
      </x:c>
      <x:c r="G35" s="17" t="str">
        <x:v>منقول من البحث؛ صحة البيانات والرابط تحتاج فحصًا في مرحلة المراجع</x:v>
      </x:c>
    </x:row>
    <x:row r="36" ht="15" hidden="0" customHeight="1">
      <x:c r="A36" s="21" t="str">
        <x:v>REF-031</x:v>
      </x:c>
      <x:c r="B36" s="13" t="str">
        <x:v>تقني/منتج</x:v>
      </x:c>
      <x:c r="C36" s="52" t="str">
        <x:v>Valve. (2026). Calcflow on Steam. https://store.steampowered.com/app/547280/Calcflow/</x:v>
      </x:c>
      <x:c r="D36" s="52" t="str">
        <x:v>https://store.steampowered.com/app/547280/Calcflow/</x:v>
      </x:c>
      <x:c r="E36" s="13" t="str">
        <x:v>P0348</x:v>
      </x:c>
      <x:c r="F36" s="13" t="str">
        <x:v>references/index.html#ref-031</x:v>
      </x:c>
      <x:c r="G36" s="14" t="str">
        <x:v>منقول من البحث؛ صحة البيانات والرابط تحتاج فحصًا في مرحلة المراجع</x:v>
      </x:c>
    </x:row>
    <x:row r="37" ht="15" hidden="0" customHeight="1">
      <x:c r="A37" s="23" t="str">
        <x:v>REF-032</x:v>
      </x:c>
      <x:c r="B37" s="19" t="str">
        <x:v>تقني/منتج</x:v>
      </x:c>
      <x:c r="C37" s="54" t="str">
        <x:v>Delightex. (2026). Delightex Edu. https://www.delightex.com/edu</x:v>
      </x:c>
      <x:c r="D37" s="54" t="str">
        <x:v>https://www.delightex.com/edu</x:v>
      </x:c>
      <x:c r="E37" s="19" t="str">
        <x:v>P0349</x:v>
      </x:c>
      <x:c r="F37" s="19" t="str">
        <x:v>references/index.html#ref-032</x:v>
      </x:c>
      <x:c r="G37" s="20" t="str">
        <x:v>منقول من البحث؛ صحة البيانات والرابط تحتاج فحصًا في مرحلة المراجع</x:v>
      </x:c>
    </x:row>
  </x:sheetData>
  <x:mergeCells>
    <x:mergeCell ref="A1:E1"/>
    <x:mergeCell ref="A2:E2"/>
    <x:mergeCell ref="A3:E3"/>
  </x:mergeCells>
  <x:pageMargins left="0.7" right="0.7" top="0.75" bottom="0.75" header="0.3" footer="0.3"/>
  <x:tableParts count="1">
    <x:tablePart xmlns:r="http://schemas.openxmlformats.org/officeDocument/2006/relationships" r:id="Rbc31e0f4f6fc4318"/>
  </x:tableParts>
</x:worksheet>
</file>

<file path=xl/worksheets/sheet9.xml><?xml version="1.0" encoding="utf-8"?>
<x:worksheet xmlns:x="http://schemas.openxmlformats.org/spreadsheetml/2006/main">
  <x:sheetPr>
    <x:tabColor rgb="FF23364D"/>
  </x:sheetPr>
  <x:sheetViews>
    <x:sheetView showGridLines="0" workbookViewId="0">
      <x:pane xSplit="1" ySplit="5" topLeftCell="B6" activePane="bottomRight" state="frozen"/>
    </x:sheetView>
  </x:sheetViews>
  <x:sheetFormatPr defaultRowHeight="15"/>
  <x:cols>
    <x:col min="1" max="1" width="12.220000267028809" hidden="0" customWidth="1"/>
    <x:col min="2" max="2" width="11.109999656677246" hidden="0" customWidth="1"/>
    <x:col min="3" max="3" width="15.5600004196167" hidden="0" customWidth="1"/>
    <x:col min="4" max="4" width="48.88999938964844" hidden="0" customWidth="1"/>
    <x:col min="5" max="5" width="100" hidden="0" customWidth="1"/>
  </x:cols>
  <x:sheetData>
    <x:row r="1" ht="34" customHeight="1">
      <x:c r="A1" s="5" t="str">
        <x:v>تغطية المصدر — مختبر الهندسة بالواقع الافتراضي</x:v>
      </x:c>
      <x:c r="B1" s="5"/>
      <x:c r="C1" s="5"/>
      <x:c r="D1" s="5"/>
      <x:c r="E1" s="5"/>
    </x:row>
    <x:row r="2" ht="35" customHeight="1">
      <x:c r="A2" s="4" t="str">
        <x:v>P: فقرات Word بترتيبها مع الفارغ؛ T: الجداول. النص منقول للفحص والمطابقة.</x:v>
      </x:c>
      <x:c r="B2" s="4"/>
      <x:c r="C2" s="4"/>
      <x:c r="D2" s="4"/>
      <x:c r="E2" s="4"/>
    </x:row>
    <x:row r="3" ht="30" customHeight="1">
      <x:c r="A3" s="4" t="str">
        <x:v>تاريخ الجرد: 2026-10-04. تُترك البيانات غير المعروفة صريحة دون استنتاج الإصدار من اسم الملف.</x:v>
      </x:c>
      <x:c r="B3" s="4"/>
      <x:c r="C3" s="4"/>
      <x:c r="D3" s="4"/>
      <x:c r="E3" s="4"/>
    </x:row>
    <x:row r="4">
      <x:c r="A4" s="4"/>
      <x:c r="B4" s="4"/>
      <x:c r="C4" s="4"/>
      <x:c r="D4" s="4"/>
      <x:c r="E4" s="4"/>
    </x:row>
    <x:row r="5" ht="38" customHeight="1">
      <x:c r="A5" s="9" t="str">
        <x:v>الموضع</x:v>
      </x:c>
      <x:c r="B5" s="10" t="str">
        <x:v>النوع</x:v>
      </x:c>
      <x:c r="C5" s="10" t="str">
        <x:v>معرف الخريطة</x:v>
      </x:c>
      <x:c r="D5" s="10" t="str">
        <x:v>الوجهة المقترحة</x:v>
      </x:c>
      <x:c r="E5" s="11" t="str">
        <x:v>نص الفقرة أو صفوف الجدول</x:v>
      </x:c>
    </x:row>
    <x:row r="6" ht="15" hidden="0" customHeight="1">
      <x:c r="A6" s="21" t="str">
        <x:v>P0001</x:v>
      </x:c>
      <x:c r="B6" s="13" t="str">
        <x:v>فقرة</x:v>
      </x:c>
      <x:c r="C6" s="13" t="str">
        <x:v>FRONT-COVER</x:v>
      </x:c>
      <x:c r="D6" s="13" t="str">
        <x:v>about/index.html#research-metadata</x:v>
      </x:c>
      <x:c r="E6" s="14" t="str"/>
    </x:row>
    <x:row r="7" ht="15" hidden="0" customHeight="1">
      <x:c r="A7" s="22" t="str">
        <x:v>P0002</x:v>
      </x:c>
      <x:c r="B7" s="16" t="str">
        <x:v>فقرة</x:v>
      </x:c>
      <x:c r="C7" s="16" t="str">
        <x:v>FRONT-COVER</x:v>
      </x:c>
      <x:c r="D7" s="16" t="str">
        <x:v>about/index.html#research-metadata</x:v>
      </x:c>
      <x:c r="E7" s="17" t="str"/>
    </x:row>
    <x:row r="8" ht="15" hidden="0" customHeight="1">
      <x:c r="A8" s="21" t="str">
        <x:v>P0003</x:v>
      </x:c>
      <x:c r="B8" s="13" t="str">
        <x:v>فقرة</x:v>
      </x:c>
      <x:c r="C8" s="13" t="str">
        <x:v>FRONT-COVER</x:v>
      </x:c>
      <x:c r="D8" s="13" t="str">
        <x:v>about/index.html#research-metadata</x:v>
      </x:c>
      <x:c r="E8" s="14" t="str"/>
    </x:row>
    <x:row r="9" ht="15" hidden="0" customHeight="1">
      <x:c r="A9" s="22" t="str">
        <x:v>P0004</x:v>
      </x:c>
      <x:c r="B9" s="16" t="str">
        <x:v>فقرة</x:v>
      </x:c>
      <x:c r="C9" s="16" t="str">
        <x:v>FRONT-COVER</x:v>
      </x:c>
      <x:c r="D9" s="16" t="str">
        <x:v>about/index.html#research-metadata</x:v>
      </x:c>
      <x:c r="E9" s="17" t="str"/>
    </x:row>
    <x:row r="10" ht="15" hidden="0" customHeight="1">
      <x:c r="A10" s="21" t="str">
        <x:v>P0005</x:v>
      </x:c>
      <x:c r="B10" s="13" t="str">
        <x:v>فقرة</x:v>
      </x:c>
      <x:c r="C10" s="13" t="str">
        <x:v>FRONT-COVER</x:v>
      </x:c>
      <x:c r="D10" s="13" t="str">
        <x:v>about/index.html#research-metadata</x:v>
      </x:c>
      <x:c r="E10" s="14" t="str">
        <x:v>كلية سخنين الأكاديمية</x:v>
      </x:c>
    </x:row>
    <x:row r="11" ht="15" hidden="0" customHeight="1">
      <x:c r="A11" s="22" t="str">
        <x:v>P0006</x:v>
      </x:c>
      <x:c r="B11" s="16" t="str">
        <x:v>فقرة</x:v>
      </x:c>
      <x:c r="C11" s="16" t="str">
        <x:v>FRONT-COVER</x:v>
      </x:c>
      <x:c r="D11" s="16" t="str">
        <x:v>about/index.html#research-metadata</x:v>
      </x:c>
      <x:c r="E11" s="17" t="str">
        <x:v>برنامج استكمال الرياضيات</x:v>
      </x:c>
    </x:row>
    <x:row r="12" ht="36" hidden="0" customHeight="1">
      <x:c r="A12" s="21" t="str">
        <x:v>P0007</x:v>
      </x:c>
      <x:c r="B12" s="13" t="str">
        <x:v>فقرة</x:v>
      </x:c>
      <x:c r="C12" s="13" t="str">
        <x:v>FRONT-COVER</x:v>
      </x:c>
      <x:c r="D12" s="13" t="str">
        <x:v>about/index.html#research-metadata</x:v>
      </x:c>
      <x:c r="E12" s="14" t="str">
        <x:v>تصميم وتطوير بيئة واقع افتراضي غامر وتفاعلي
لتعليم الهندسة الفراغية والتحويلات الهندسية
لدى طلبة المرحلة الثانوية</x:v>
      </x:c>
    </x:row>
    <x:row r="13" ht="15" hidden="0" customHeight="1">
      <x:c r="A13" s="22" t="str">
        <x:v>P0008</x:v>
      </x:c>
      <x:c r="B13" s="16" t="str">
        <x:v>فقرة</x:v>
      </x:c>
      <x:c r="C13" s="16" t="str">
        <x:v>FRONT-COVER</x:v>
      </x:c>
      <x:c r="D13" s="16" t="str">
        <x:v>about/index.html#research-metadata</x:v>
      </x:c>
      <x:c r="E13" s="17" t="str">
        <x:v>بحث تطويري في تصميم منتج تعليمي والتحقق من مواصفاته</x:v>
      </x:c>
    </x:row>
    <x:row r="14" ht="24" hidden="0" customHeight="1">
      <x:c r="A14" s="21" t="str">
        <x:v>P0009</x:v>
      </x:c>
      <x:c r="B14" s="13" t="str">
        <x:v>فقرة</x:v>
      </x:c>
      <x:c r="C14" s="13" t="str">
        <x:v>FRONT-COVER</x:v>
      </x:c>
      <x:c r="D14" s="13" t="str">
        <x:v>about/index.html#research-metadata</x:v>
      </x:c>
      <x:c r="E14" s="14" t="str">
        <x:v>Design and Development of an Immersive Interactive Virtual Reality Environment
for Teaching Spatial Geometry and Geometric Transformations to Secondary Students</x:v>
      </x:c>
    </x:row>
    <x:row r="15" ht="48" hidden="0" customHeight="1">
      <x:c r="A15" s="22" t="str">
        <x:v>T001</x:v>
      </x:c>
      <x:c r="B15" s="16" t="str">
        <x:v>جدول</x:v>
      </x:c>
      <x:c r="C15" s="16" t="str">
        <x:v>FRONT-COVER</x:v>
      </x:c>
      <x:c r="D15" s="16" t="str">
        <x:v>about/index.html#research-metadata</x:v>
      </x:c>
      <x:c r="E15" s="17" t="str">
        <x:v>إعداد الباحث / زهدي زاهدة
إشراف / الدكتور زياد أبو حامد
نوع الدراسة / بحث تصميم وتطوير تربوي
السنة / 2026</x:v>
      </x:c>
    </x:row>
    <x:row r="16" ht="15" hidden="0" customHeight="1">
      <x:c r="A16" s="21" t="str">
        <x:v>P0010</x:v>
      </x:c>
      <x:c r="B16" s="13" t="str">
        <x:v>فقرة</x:v>
      </x:c>
      <x:c r="C16" s="13" t="str">
        <x:v>FRONT-COVER</x:v>
      </x:c>
      <x:c r="D16" s="13" t="str">
        <x:v>about/index.html#research-metadata</x:v>
      </x:c>
      <x:c r="E16" s="14" t="str">
        <x:v>الإصدار الأكاديمي الشامل المحدّث - 29 تموز/يوليو 2026</x:v>
      </x:c>
    </x:row>
    <x:row r="17" ht="15" hidden="0" customHeight="1">
      <x:c r="A17" s="22" t="str">
        <x:v>P0011</x:v>
      </x:c>
      <x:c r="B17" s="16" t="str">
        <x:v>فقرة</x:v>
      </x:c>
      <x:c r="C17" s="16" t="str">
        <x:v>FRONT-COVER</x:v>
      </x:c>
      <x:c r="D17" s="16" t="str">
        <x:v>about/index.html#research-metadata</x:v>
      </x:c>
      <x:c r="E17" s="17" t="str"/>
    </x:row>
    <x:row r="18" ht="15" hidden="0" customHeight="1">
      <x:c r="A18" s="21" t="str">
        <x:v>P0012</x:v>
      </x:c>
      <x:c r="B18" s="13" t="str">
        <x:v>فقرة</x:v>
      </x:c>
      <x:c r="C18" s="13" t="str">
        <x:v>MAP-001</x:v>
      </x:c>
      <x:c r="D18" s="13" t="str">
        <x:v>about/index.html#methodological-statement</x:v>
      </x:c>
      <x:c r="E18" s="14" t="str">
        <x:v>إقرار منهجي</x:v>
      </x:c>
    </x:row>
    <x:row r="19" ht="36" hidden="0" customHeight="1">
      <x:c r="A19" s="22" t="str">
        <x:v>T002</x:v>
      </x:c>
      <x:c r="B19" s="16" t="str">
        <x:v>جدول</x:v>
      </x:c>
      <x:c r="C19" s="16" t="str">
        <x:v>MAP-001</x:v>
      </x:c>
      <x:c r="D19" s="16" t="str">
        <x:v>about/index.html#methodological-statement</x:v>
      </x:c>
      <x:c r="E19" s="17" t="str">
        <x:v>طبيعة هذا البحث: هذا البحث دراسة تصميم وتطوير لمنتج تعليمي. لم تُنفّذ فيه تجربة على عينة من الطلبة، ولم تُستخدم استبانة أو اختبارات تحصيلية، ولا يتضمن نتائج إحصائية عن فاعلية التطبيق. تنصب النتائج على تحليل المشكلة، واستخلاص المواصفات التربوية والتقنية، وتطوير النموذج، والتحقق الوظيفي من أجزائه المنجزة.</x:v>
      </x:c>
    </x:row>
    <x:row r="20" ht="15" hidden="0" customHeight="1">
      <x:c r="A20" s="21" t="str">
        <x:v>P0013</x:v>
      </x:c>
      <x:c r="B20" s="13" t="str">
        <x:v>فقرة</x:v>
      </x:c>
      <x:c r="C20" s="13" t="str">
        <x:v>MAP-001</x:v>
      </x:c>
      <x:c r="D20" s="13" t="str">
        <x:v>about/index.html#methodological-statement</x:v>
      </x:c>
      <x:c r="E20" s="14" t="str"/>
    </x:row>
    <x:row r="21" ht="36" hidden="0" customHeight="1">
      <x:c r="A21" s="22" t="str">
        <x:v>P0014</x:v>
      </x:c>
      <x:c r="B21" s="16" t="str">
        <x:v>فقرة</x:v>
      </x:c>
      <x:c r="C21" s="16" t="str">
        <x:v>MAP-001</x:v>
      </x:c>
      <x:c r="D21" s="16" t="str">
        <x:v>about/index.html#methodological-statement</x:v>
      </x:c>
      <x:c r="E21" s="17" t="str">
        <x:v>أُعدت النسخة الحالية انطلاقًا من التطور الفعلي للمشروع وسجل القرارات والمشكلات والحلول أثناء البناء. وقد استُبدلت الصياغة القديمة التي كانت تقترح تصميمًا شبه تجريبيًا بعنوان ومنهج وأسئلة تتفق مع ما أُنجز بالفعل. ولا يجوز الاستدلال من الاختبارات التقنية الواردة في البحث على تحسن تحصيل الطلبة أو تصورهم الفراغي؛ فإثبات ذلك يتطلب دراسة لاحقة بعينة وأدوات قياس وإجراءات أخلاقية مستقلة.</x:v>
      </x:c>
    </x:row>
    <x:row r="22" ht="15" hidden="0" customHeight="1">
      <x:c r="A22" s="21" t="str">
        <x:v>P0015</x:v>
      </x:c>
      <x:c r="B22" s="13" t="str">
        <x:v>فقرة</x:v>
      </x:c>
      <x:c r="C22" s="13" t="str">
        <x:v>MAP-002</x:v>
      </x:c>
      <x:c r="D22" s="13" t="str">
        <x:v>about/index.html#acknowledgements</x:v>
      </x:c>
      <x:c r="E22" s="14" t="str">
        <x:v>شكر وتقدير</x:v>
      </x:c>
    </x:row>
    <x:row r="23" ht="36" hidden="0" customHeight="1">
      <x:c r="A23" s="22" t="str">
        <x:v>P0016</x:v>
      </x:c>
      <x:c r="B23" s="16" t="str">
        <x:v>فقرة</x:v>
      </x:c>
      <x:c r="C23" s="16" t="str">
        <x:v>MAP-002</x:v>
      </x:c>
      <x:c r="D23" s="16" t="str">
        <x:v>about/index.html#acknowledgements</x:v>
      </x:c>
      <x:c r="E23" s="17" t="str">
        <x:v>يتقدم الباحث بالشكر إلى الدكتور زياد أبو حامد على الإشراف والتوجيه، وإلى كل من أسهم بالملاحظة أو الدعم التقني والتربوي خلال انتقال المشروع من فكرة عرض نماذج ثلاثية الأبعاد إلى بيئة واقع افتراضي غامرة وتفاعلية. كما يقدّر الباحث دور الخبرة الصفية في كشف الفجوة بين طبيعة الهندسة الفراغية ثلاثية الأبعاد وبين طرائق عرضها المسطحة، وهي الخبرة التي شكلت الدافع الرئيس لهذا المشروع.</x:v>
      </x:c>
    </x:row>
    <x:row r="24" ht="15" hidden="0" customHeight="1">
      <x:c r="A24" s="21" t="str">
        <x:v>P0017</x:v>
      </x:c>
      <x:c r="B24" s="13" t="str">
        <x:v>فقرة</x:v>
      </x:c>
      <x:c r="C24" s="13" t="str">
        <x:v>MAP-003</x:v>
      </x:c>
      <x:c r="D24" s="13" t="str">
        <x:v>abstract/index.html#arabic</x:v>
      </x:c>
      <x:c r="E24" s="14" t="str">
        <x:v>الملخص</x:v>
      </x:c>
    </x:row>
    <x:row r="25" ht="48" hidden="0" customHeight="1">
      <x:c r="A25" s="22" t="str">
        <x:v>P0018</x:v>
      </x:c>
      <x:c r="B25" s="16" t="str">
        <x:v>فقرة</x:v>
      </x:c>
      <x:c r="C25" s="16" t="str">
        <x:v>MAP-003</x:v>
      </x:c>
      <x:c r="D25" s="16" t="str">
        <x:v>abstract/index.html#arabic</x:v>
      </x:c>
      <x:c r="E25" s="17" t="str">
        <x:v>هدف البحث إلى تصميم وتطوير بيئة واقع افتراضي غامر وتفاعلي لتعليم الهندسة الفراغية والتحويلات الهندسية لدى طلبة المرحلة الثانوية، استجابة لمشكلة تمثيل الأجسام والعلاقات الفراغية ثلاثية الأبعاد غالبًا برسوم ثابتة على اللوح أو الكتاب أو الشاشة. اتبع البحث منهج التصميم والتطوير من النوع المتمركز حول المنتج، واستفاد من منطق التحليل والتصميم والتطوير والتحقق التكراري. لم يستخدم البحث عينة بشرية أو استبانة؛ إذ كانت وحدة التحليل والتقويم هي البيئة التعليمية ومكوناتها وسلوكها الوظيفي.</x:v>
      </x:c>
    </x:row>
    <x:row r="26" ht="72" hidden="0" customHeight="1">
      <x:c r="A26" s="21" t="str">
        <x:v>P0019</x:v>
      </x:c>
      <x:c r="B26" s="13" t="str">
        <x:v>فقرة</x:v>
      </x:c>
      <x:c r="C26" s="13" t="str">
        <x:v>MAP-003</x:v>
      </x:c>
      <x:c r="D26" s="13" t="str">
        <x:v>abstract/index.html#arabic</x:v>
      </x:c>
      <x:c r="E26" s="14" t="str">
        <x:v>بدأ المشروع بنماذج وعروض بزاوية 360 درجة باستخدام Fusion 360، ثم انتقل عبر محاولات في Blender إلى Unity بعد أن تبين أن المشاهدة وحدها لا تحقق الإمساك بالمجسمات أو تدويرها أو تنفيذ المهمات عليها. تطور العتاد من Meta Quest 2 إلى Meta Quest 3S، وانتقلت بيئة التطوير إلى Unity 6.4 (6000.4.1f1) مع OpenXR وXR Interaction Toolkit. صُممت تجربة مترابطة تبدأ بتهيئة داخلية يتعرف فيها الطالب إلى النظارة ووحدات التحكم والحركة والإمساك والإفلات وإعادة الأجسام، ثم ينتقل إلى مختبر المجسمات لاستكشاف المكعب والكرة والأسطوانة وخصائصها وتسمياتها وأدلتها البصرية. وأُضيف إرشاد صوتي باللغة العربية، مرتبط بأحداث المشهد، ليقدم التعليمات في وقتها، ويحفز الطالب، ويتابع انتقاله من خطوة إلى أخرى. ووضع تصميم تربوي لمختبر التحويلات بوصفه المرحلة التالية، مع التصريح بأنه ما يزال قيد التطوير في النسخة التي يوثقها البحث.</x:v>
      </x:c>
    </x:row>
    <x:row r="27" ht="60" hidden="0" customHeight="1">
      <x:c r="A27" s="22" t="str">
        <x:v>P0020</x:v>
      </x:c>
      <x:c r="B27" s="16" t="str">
        <x:v>فقرة</x:v>
      </x:c>
      <x:c r="C27" s="16" t="str">
        <x:v>MAP-003</x:v>
      </x:c>
      <x:c r="D27" s="16" t="str">
        <x:v>abstract/index.html#arabic</x:v>
      </x:c>
      <x:c r="E27" s="17" t="str">
        <x:v>أظهرت نتائج التطوير تحقق الوظائف الأساسية في الاتصال بالنظارة، وتتبع الرأس واليدين، وضبط ارتفاع الكاميرا، والانتقال الآني والدوران المتقطع، والإمساك بالمجسمات وإفلاتها وإعادتها، وتسلسل بطاقات التهيئة والانتقال إلى مختبر المجسمات واختيار المجسمات، إلى جانب تشغيل التوجيهات الصوتية العربية المرتبطة بالأحداث التعليمية. كما كشفت عملية التطوير أهمية التدريب القبلي داخل البيئة، وتقليل الازدحام البصري، والحفاظ على غرفة تعليمية واحدة، والجمع المنظم بين الإرشاد المرئي والصوتي، والفصل بين الإتاحة المجانية والشفرة المفتوحة. خلص البحث إلى أن المنتج يقدم نموذجًا عربيًا تربوي التوجيه وقابلًا للتوسع، مع الحاجة إلى استكمال مختبر التحويلات، ومواصلة ضبط التزامن ومستوى الصوت، ثم إجراء دراسة فاعلية مستقلة مستقبلًا.</x:v>
      </x:c>
    </x:row>
    <x:row r="28" ht="24" hidden="0" customHeight="1">
      <x:c r="A28" s="21" t="str">
        <x:v>P0021</x:v>
      </x:c>
      <x:c r="B28" s="13" t="str">
        <x:v>فقرة</x:v>
      </x:c>
      <x:c r="C28" s="13" t="str">
        <x:v>MAP-003</x:v>
      </x:c>
      <x:c r="D28" s="13" t="str">
        <x:v>abstract/index.html#arabic</x:v>
      </x:c>
      <x:c r="E28" s="14" t="str">
        <x:v>الكلمات المفتاحية: الواقع الافتراضي الغامر، الهندسة الفراغية، المجسمات الهندسية، التحويلات الهندسية، التصور الفراغي، التعلم المتجسد، الإرشاد الصوتي العربي، Unity، Meta Quest 3S، البحث التطويري.</x:v>
      </x:c>
    </x:row>
    <x:row r="29" ht="15" hidden="0" customHeight="1">
      <x:c r="A29" s="22" t="str">
        <x:v>P0022</x:v>
      </x:c>
      <x:c r="B29" s="16" t="str">
        <x:v>فقرة</x:v>
      </x:c>
      <x:c r="C29" s="16" t="str">
        <x:v>MAP-004</x:v>
      </x:c>
      <x:c r="D29" s="16" t="str">
        <x:v>abstract/index.html#english</x:v>
      </x:c>
      <x:c r="E29" s="17" t="str">
        <x:v>Abstract</x:v>
      </x:c>
    </x:row>
    <x:row r="30" ht="72" hidden="0" customHeight="1">
      <x:c r="A30" s="21" t="str">
        <x:v>P0023</x:v>
      </x:c>
      <x:c r="B30" s="13" t="str">
        <x:v>فقرة</x:v>
      </x:c>
      <x:c r="C30" s="13" t="str">
        <x:v>MAP-004</x:v>
      </x:c>
      <x:c r="D30" s="13" t="str">
        <x:v>abstract/index.html#english</x:v>
      </x:c>
      <x:c r="E30" s="14" t="str">
        <x:v>This study aimed to design and develop an immersive interactive virtual reality environment for teaching spatial geometry and geometric transformations to secondary students. The project addresses the mismatch between the three-dimensional nature of solids and spatial relations and their frequent representation through static two-dimensional drawings on boards, textbooks, and screens. A product-oriented design and development research approach was adopted. No participant sample, questionnaire, achievement test, or statistical claim of learning effectiveness was used; the educational environment itself was the unit of analysis and verification.</x:v>
      </x:c>
    </x:row>
    <x:row r="31" ht="84" hidden="0" customHeight="1">
      <x:c r="A31" s="22" t="str">
        <x:v>P0024</x:v>
      </x:c>
      <x:c r="B31" s="16" t="str">
        <x:v>فقرة</x:v>
      </x:c>
      <x:c r="C31" s="16" t="str">
        <x:v>MAP-004</x:v>
      </x:c>
      <x:c r="D31" s="16" t="str">
        <x:v>abstract/index.html#english</x:v>
      </x:c>
      <x:c r="E31" s="17" t="str">
        <x:v>The project evolved from 360-degree model viewing in Fusion 360, through exploratory Blender work, into an interactive Unity application after passive viewing proved insufficient for direct manipulation. The current prototype uses Unity 6.4 (6000.4.1f1), OpenXR, the XR Interaction Toolkit, and Meta Quest 3S. Its pedagogical sequence begins with in-world onboarding for headset, controller, locomotion, grabbing, releasing, throwing, and resetting objects. It then introduces a solids laboratory for exploring the cube, sphere, and cylinder, including names, faces, edges, vertices, labels, visual guides, and controlled rotation. Event-based Arabic audio guidance was added to provide timely instructions, encouragement, and progression cues. The transformations laboratory is pedagogically specified as the next stage but remains under development in the documented version.</x:v>
      </x:c>
    </x:row>
    <x:row r="32" ht="84" hidden="0" customHeight="1">
      <x:c r="A32" s="21" t="str">
        <x:v>P0025</x:v>
      </x:c>
      <x:c r="B32" s="13" t="str">
        <x:v>فقرة</x:v>
      </x:c>
      <x:c r="C32" s="13" t="str">
        <x:v>MAP-004</x:v>
      </x:c>
      <x:c r="D32" s="13" t="str">
        <x:v>abstract/index.html#english</x:v>
      </x:c>
      <x:c r="E32" s="14" t="str">
        <x:v>Functional verification confirmed the core headset/controller setup, corrected camera height, teleportation and snap turning, direct object manipulation, reset behavior, onboarding progression, entry into the solids laboratory, solid selection, and the event-linked Arabic audio prompts. The study concludes that pedagogically guided onboarding, purposeful Arabic narration, low-clutter visual design, continuity within one learning room, and transparent feature-status reporting are central design principles. The audio layer is intended to keep free interaction subordinate to explicit learning goals rather than allowing the application to function merely as entertainment. Future work should complete transformations, refine audio timing and accessibility, and conduct a separate learner-effectiveness study under appropriate ethical procedures.</x:v>
      </x:c>
    </x:row>
    <x:row r="33" ht="24" hidden="0" customHeight="1">
      <x:c r="A33" s="22" t="str">
        <x:v>P0026</x:v>
      </x:c>
      <x:c r="B33" s="16" t="str">
        <x:v>فقرة</x:v>
      </x:c>
      <x:c r="C33" s="16" t="str">
        <x:v>MAP-004</x:v>
      </x:c>
      <x:c r="D33" s="16" t="str">
        <x:v>abstract/index.html#english</x:v>
      </x:c>
      <x:c r="E33" s="17" t="str">
        <x:v>Keywords: immersive virtual reality; spatial geometry; geometric solids; geometric transformations; spatial visualization; embodied learning; Arabic audio guidance; Unity; Meta Quest 3S; design and development research.</x:v>
      </x:c>
    </x:row>
    <x:row r="34" ht="15" hidden="0" customHeight="1">
      <x:c r="A34" s="21" t="str">
        <x:v>P0027</x:v>
      </x:c>
      <x:c r="B34" s="13" t="str">
        <x:v>فقرة</x:v>
      </x:c>
      <x:c r="C34" s="13" t="str">
        <x:v>MAP-004</x:v>
      </x:c>
      <x:c r="D34" s="13" t="str">
        <x:v>abstract/index.html#english</x:v>
      </x:c>
      <x:c r="E34" s="14" t="str"/>
    </x:row>
    <x:row r="35" ht="15" hidden="0" customHeight="1">
      <x:c r="A35" s="22" t="str">
        <x:v>P0028</x:v>
      </x:c>
      <x:c r="B35" s="16" t="str">
        <x:v>فقرة</x:v>
      </x:c>
      <x:c r="C35" s="16" t="str">
        <x:v>MAP-005</x:v>
      </x:c>
      <x:c r="D35" s="16" t="str">
        <x:v>index.html#contents</x:v>
      </x:c>
      <x:c r="E35" s="17" t="str">
        <x:v>جدول المحتويات</x:v>
      </x:c>
    </x:row>
    <x:row r="36" ht="15" hidden="0" customHeight="1">
      <x:c r="A36" s="21" t="str">
        <x:v>P0029</x:v>
      </x:c>
      <x:c r="B36" s="13" t="str">
        <x:v>فقرة</x:v>
      </x:c>
      <x:c r="C36" s="13" t="str">
        <x:v>MAP-005</x:v>
      </x:c>
      <x:c r="D36" s="13" t="str">
        <x:v>index.html#contents</x:v>
      </x:c>
      <x:c r="E36" s="14" t="str">
        <x:v>المحتويات الرئيسة وأرقام صفحات البداية</x:v>
      </x:c>
    </x:row>
    <x:row r="37" ht="120" hidden="0" customHeight="1">
      <x:c r="A37" s="22" t="str">
        <x:v>T003</x:v>
      </x:c>
      <x:c r="B37" s="16" t="str">
        <x:v>جدول</x:v>
      </x:c>
      <x:c r="C37" s="16" t="str">
        <x:v>MAP-005</x:v>
      </x:c>
      <x:c r="D37" s="16" t="str">
        <x:v>index.html#contents</x:v>
      </x:c>
      <x:c r="E37" s="17" t="str">
        <x:v>القسم / الصفحة
إقرار منهجي، شكر وتقدير، والملخص العربي / 2
Abstract / 3
الفصل الأول: الإطار العام للبحث / 6
الفصل الثاني: الإطار النظري والدراسات السابقة / 11
الفصل الثالث: منهجية البحث وإجراءات التصميم والتطوير / 16
الفصل الرابع: نتائج التصميم والتطوير / 23
الفصل الخامس: المناقشة والاستنتاجات والتوصيات / 27
المراجع / 31
الملاحق / 34</x:v>
      </x:c>
    </x:row>
    <x:row r="38" ht="15" hidden="0" customHeight="1">
      <x:c r="A38" s="21" t="str">
        <x:v>P0030</x:v>
      </x:c>
      <x:c r="B38" s="13" t="str">
        <x:v>فقرة</x:v>
      </x:c>
      <x:c r="C38" s="13" t="str">
        <x:v>MAP-005</x:v>
      </x:c>
      <x:c r="D38" s="13" t="str">
        <x:v>index.html#contents</x:v>
      </x:c>
      <x:c r="E38" s="14" t="str"/>
    </x:row>
    <x:row r="39" ht="15" hidden="0" customHeight="1">
      <x:c r="A39" s="22" t="str">
        <x:v>P0031</x:v>
      </x:c>
      <x:c r="B39" s="16" t="str">
        <x:v>فقرة</x:v>
      </x:c>
      <x:c r="C39" s="16" t="str">
        <x:v>MAP-006</x:v>
      </x:c>
      <x:c r="D39" s="16" t="str">
        <x:v>evidence/index.html#tables</x:v>
      </x:c>
      <x:c r="E39" s="17" t="str">
        <x:v>قائمة الجداول</x:v>
      </x:c>
    </x:row>
    <x:row r="40" ht="15" hidden="0" customHeight="1">
      <x:c r="A40" s="21" t="str">
        <x:v>P0032</x:v>
      </x:c>
      <x:c r="B40" s="13" t="str">
        <x:v>فقرة</x:v>
      </x:c>
      <x:c r="C40" s="13" t="str">
        <x:v>MAP-006</x:v>
      </x:c>
      <x:c r="D40" s="13" t="str">
        <x:v>evidence/index.html#tables</x:v>
      </x:c>
      <x:c r="E40" s="14" t="str">
        <x:v>جدول (1): تحوّل مشكلة التدريس إلى متطلبات تصميمية.</x:v>
      </x:c>
    </x:row>
    <x:row r="41" ht="15" hidden="0" customHeight="1">
      <x:c r="A41" s="22" t="str">
        <x:v>P0033</x:v>
      </x:c>
      <x:c r="B41" s="16" t="str">
        <x:v>فقرة</x:v>
      </x:c>
      <x:c r="C41" s="16" t="str">
        <x:v>MAP-006</x:v>
      </x:c>
      <x:c r="D41" s="16" t="str">
        <x:v>evidence/index.html#tables</x:v>
      </x:c>
      <x:c r="E41" s="17" t="str">
        <x:v>جدول (2): مقارنة الدراسات السابقة الأقرب إلى المشروع.</x:v>
      </x:c>
    </x:row>
    <x:row r="42" ht="15" hidden="0" customHeight="1">
      <x:c r="A42" s="21" t="str">
        <x:v>P0034</x:v>
      </x:c>
      <x:c r="B42" s="13" t="str">
        <x:v>فقرة</x:v>
      </x:c>
      <x:c r="C42" s="13" t="str">
        <x:v>MAP-006</x:v>
      </x:c>
      <x:c r="D42" s="13" t="str">
        <x:v>evidence/index.html#tables</x:v>
      </x:c>
      <x:c r="E42" s="14" t="str">
        <x:v>جدول (3): مقارنة التطبيقات والمنصات المتاحة.</x:v>
      </x:c>
    </x:row>
    <x:row r="43" ht="15" hidden="0" customHeight="1">
      <x:c r="A43" s="22" t="str">
        <x:v>P0035</x:v>
      </x:c>
      <x:c r="B43" s="16" t="str">
        <x:v>فقرة</x:v>
      </x:c>
      <x:c r="C43" s="16" t="str">
        <x:v>MAP-006</x:v>
      </x:c>
      <x:c r="D43" s="16" t="str">
        <x:v>evidence/index.html#tables</x:v>
      </x:c>
      <x:c r="E43" s="17" t="str">
        <x:v>جدول (4): مراحل تطور المشروع والقرارات الناتجة عنها.</x:v>
      </x:c>
    </x:row>
    <x:row r="44" ht="15" hidden="0" customHeight="1">
      <x:c r="A44" s="21" t="str">
        <x:v>P0036</x:v>
      </x:c>
      <x:c r="B44" s="13" t="str">
        <x:v>فقرة</x:v>
      </x:c>
      <x:c r="C44" s="13" t="str">
        <x:v>MAP-006</x:v>
      </x:c>
      <x:c r="D44" s="13" t="str">
        <x:v>evidence/index.html#tables</x:v>
      </x:c>
      <x:c r="E44" s="14" t="str">
        <x:v>جدول (5): المكونات البرمجية والتربوية في البنية الحالية.</x:v>
      </x:c>
    </x:row>
    <x:row r="45" ht="15" hidden="0" customHeight="1">
      <x:c r="A45" s="22" t="str">
        <x:v>P0037</x:v>
      </x:c>
      <x:c r="B45" s="16" t="str">
        <x:v>فقرة</x:v>
      </x:c>
      <x:c r="C45" s="16" t="str">
        <x:v>MAP-006</x:v>
      </x:c>
      <x:c r="D45" s="16" t="str">
        <x:v>evidence/index.html#tables</x:v>
      </x:c>
      <x:c r="E45" s="17" t="str">
        <x:v>جدول (6): مصفوفة التحقق الوظيفي وحالة كل وظيفة.</x:v>
      </x:c>
    </x:row>
    <x:row r="46" ht="15" hidden="0" customHeight="1">
      <x:c r="A46" s="21" t="str">
        <x:v>P0038</x:v>
      </x:c>
      <x:c r="B46" s="13" t="str">
        <x:v>فقرة</x:v>
      </x:c>
      <x:c r="C46" s="13" t="str">
        <x:v>MAP-006</x:v>
      </x:c>
      <x:c r="D46" s="13" t="str">
        <x:v>evidence/index.html#tables</x:v>
      </x:c>
      <x:c r="E46" s="14" t="str">
        <x:v>جدول (7): الإجابة عن أسئلة البحث.</x:v>
      </x:c>
    </x:row>
    <x:row r="47" ht="15" hidden="0" customHeight="1">
      <x:c r="A47" s="22" t="str">
        <x:v>P0039</x:v>
      </x:c>
      <x:c r="B47" s="16" t="str">
        <x:v>فقرة</x:v>
      </x:c>
      <x:c r="C47" s="16" t="str">
        <x:v>MAP-006</x:v>
      </x:c>
      <x:c r="D47" s="16" t="str">
        <x:v>evidence/index.html#tables</x:v>
      </x:c>
      <x:c r="E47" s="17" t="str">
        <x:v>جدول (8): خطة التطوير والنشر المستقبلية.</x:v>
      </x:c>
    </x:row>
    <x:row r="48" ht="15" hidden="0" customHeight="1">
      <x:c r="A48" s="21" t="str">
        <x:v>P0040</x:v>
      </x:c>
      <x:c r="B48" s="13" t="str">
        <x:v>فقرة</x:v>
      </x:c>
      <x:c r="C48" s="13" t="str">
        <x:v>MAP-006</x:v>
      </x:c>
      <x:c r="D48" s="13" t="str">
        <x:v>evidence/index.html#tables</x:v>
      </x:c>
      <x:c r="E48" s="14" t="str"/>
    </x:row>
    <x:row r="49" ht="15" hidden="0" customHeight="1">
      <x:c r="A49" s="22" t="str">
        <x:v>P0041</x:v>
      </x:c>
      <x:c r="B49" s="16" t="str">
        <x:v>فقرة</x:v>
      </x:c>
      <x:c r="C49" s="16" t="str">
        <x:v>MAP-007</x:v>
      </x:c>
      <x:c r="D49" s="16" t="str">
        <x:v>chapters/chapter-01/index.html</x:v>
      </x:c>
      <x:c r="E49" s="17" t="str">
        <x:v>الفصل الأول: الإطار العام للبحث</x:v>
      </x:c>
    </x:row>
    <x:row r="50" ht="15" hidden="0" customHeight="1">
      <x:c r="A50" s="21" t="str">
        <x:v>P0042</x:v>
      </x:c>
      <x:c r="B50" s="13" t="str">
        <x:v>فقرة</x:v>
      </x:c>
      <x:c r="C50" s="13" t="str">
        <x:v>MAP-008</x:v>
      </x:c>
      <x:c r="D50" s="13" t="str">
        <x:v>chapters/chapter-01/index.html#section-1-1</x:v>
      </x:c>
      <x:c r="E50" s="14" t="str">
        <x:v>1.1 مقدمة</x:v>
      </x:c>
    </x:row>
    <x:row r="51" ht="36" hidden="0" customHeight="1">
      <x:c r="A51" s="22" t="str">
        <x:v>P0043</x:v>
      </x:c>
      <x:c r="B51" s="16" t="str">
        <x:v>فقرة</x:v>
      </x:c>
      <x:c r="C51" s="16" t="str">
        <x:v>MAP-008</x:v>
      </x:c>
      <x:c r="D51" s="16" t="str">
        <x:v>chapters/chapter-01/index.html#section-1-1</x:v>
      </x:c>
      <x:c r="E51" s="17" t="str">
        <x:v>تحتل الهندسة مكانة محورية في تعلم الرياضيات؛ فهي تجمع بين الاستدلال، والقياس، والتمثيل، والتصور، وربط العلاقات المجردة بأشكال وأجسام يمكن وصفها وتحليلها. وتزداد متطلبات الفهم عندما ينتقل المتعلم من الأشكال المستوية إلى الأجسام الفراغية، لأن المجسم لا يُدرك من منظر واحد، ولأن جزءًا من أوجهه وحوافه يكون محجوبًا، ولأن الدوران أو النقل أو تغيير الحجم يبدل العلاقة بين الجسم والمشاهد والمحاور.</x:v>
      </x:c>
    </x:row>
    <x:row r="52" ht="36" hidden="0" customHeight="1">
      <x:c r="A52" s="21" t="str">
        <x:v>P0044</x:v>
      </x:c>
      <x:c r="B52" s="13" t="str">
        <x:v>فقرة</x:v>
      </x:c>
      <x:c r="C52" s="13" t="str">
        <x:v>MAP-008</x:v>
      </x:c>
      <x:c r="D52" s="13" t="str">
        <x:v>chapters/chapter-01/index.html#section-1-1</x:v>
      </x:c>
      <x:c r="E52" s="14" t="str">
        <x:v>ما يزال المعلم في كثير من المواقف الصفية يشرح المكعب والأسطوانة والكرة والمخروط والتحويلات المرتبطة بها برسم منظور تقريبي على اللوح أو بصورة في الكتاب. وهذه الوسائل ضرورية ومفيدة، لكنها تمثل جسمًا ثلاثي الأبعاد على سطح ثنائي الأبعاد. لذلك يتحمل الطالب عبئًا إضافيًا: تحويل الخطوط المسطحة إلى نموذج ذهني، وتخيل السطح الخلفي، وتتبع الحواف غير المرئية، ثم تدوير النموذج ذهنيًا لفهم ما يحدث من زاوية أخرى.</x:v>
      </x:c>
    </x:row>
    <x:row r="53" ht="48" hidden="0" customHeight="1">
      <x:c r="A53" s="22" t="str">
        <x:v>P0045</x:v>
      </x:c>
      <x:c r="B53" s="16" t="str">
        <x:v>فقرة</x:v>
      </x:c>
      <x:c r="C53" s="16" t="str">
        <x:v>MAP-008</x:v>
      </x:c>
      <x:c r="D53" s="16" t="str">
        <x:v>chapters/chapter-01/index.html#section-1-1</x:v>
      </x:c>
      <x:c r="E53" s="17" t="str">
        <x:v>يوفر الواقع الافتراضي الغامر إمكانية مختلفة: لا يشاهد الطالب نموذجًا من خارج الشاشة فحسب، بل يوجد داخل فضاء افتراضي يتتبع حركة رأسه ويديه، ويمكنه الاقتراب من المجسم والدوران حوله والإمساك به وتحريكه وتدويره وإعادته. إلا أن مجرد استخدام نظارة الواقع الافتراضي لا يضمن التعلم؛ فقد تتحول التقنية إلى مصدر تشتيت أو لعب غير هادف أو عبء معرفي إذا افتقرت إلى التدرج والإرشاد والتغذية الراجعة والراحة والاتساق. ولهذا أُدخل الصوت العربي بوصفه مرشدًا تربويًا داخل المشهد: يوضح المطلوب، ويشجع المحاولة، وينبه إلى الانتقال، ويعيد توجيه الانتباه إلى الهدف الهندسي.</x:v>
      </x:c>
    </x:row>
    <x:row r="54" ht="15" hidden="0" customHeight="1">
      <x:c r="A54" s="21" t="str">
        <x:v>P0046</x:v>
      </x:c>
      <x:c r="B54" s="13" t="str">
        <x:v>فقرة</x:v>
      </x:c>
      <x:c r="C54" s="13" t="str">
        <x:v>MAP-009</x:v>
      </x:c>
      <x:c r="D54" s="13" t="str">
        <x:v>chapters/chapter-01/index.html#section-1-2</x:v>
      </x:c>
      <x:c r="E54" s="14" t="str">
        <x:v>1.2 مشكلة البحث</x:v>
      </x:c>
    </x:row>
    <x:row r="55" ht="36" hidden="0" customHeight="1">
      <x:c r="A55" s="22" t="str">
        <x:v>P0047</x:v>
      </x:c>
      <x:c r="B55" s="16" t="str">
        <x:v>فقرة</x:v>
      </x:c>
      <x:c r="C55" s="16" t="str">
        <x:v>MAP-009</x:v>
      </x:c>
      <x:c r="D55" s="16" t="str">
        <x:v>chapters/chapter-01/index.html#section-1-2</x:v>
      </x:c>
      <x:c r="E55" s="17" t="str">
        <x:v>تنبع المشكلة الأساسية من عدم التطابق بين طبيعة المحتوى وطريقة تمثيله: فالهندسة الفراغية والمجسمات والتحويلات موضوعات ثلاثية الأبعاد وديناميكية، بينما تعرض غالبًا برسوم مسطحة وثابتة. وقد لا يكون التمثيل ثنائي الأبعاد وحده كافيًا لبناء تصور فراغي متكامل لدى جميع الطلبة، ولا سيما في تمييز الأوجه والحواف والرؤوس، وفهم العمق، وتفسير الرسوم المنظورية، وتتبع أثر النقل والدوران والتكبير والتصغير.</x:v>
      </x:c>
    </x:row>
    <x:row r="56" ht="36" hidden="0" customHeight="1">
      <x:c r="A56" s="21" t="str">
        <x:v>P0048</x:v>
      </x:c>
      <x:c r="B56" s="13" t="str">
        <x:v>فقرة</x:v>
      </x:c>
      <x:c r="C56" s="13" t="str">
        <x:v>MAP-009</x:v>
      </x:c>
      <x:c r="D56" s="13" t="str">
        <x:v>chapters/chapter-01/index.html#section-1-2</x:v>
      </x:c>
      <x:c r="E56" s="14" t="str">
        <x:v>توجد تطبيقات وبحوث تستخدم الواقع الافتراضي في الهندسة، إلا أن المتاح منها يتوزع بين أدوات إنشاء هندسي مفتوح قد تتطلب خبرة كبيرة، أو تطبيقات مدفوعة، أو منصات عامة لا تقدم تسلسلًا مدرسيًا جاهزًا، أو نماذج بحثية لم تُنشر للاستخدام العام، أو تجارب موجهة إلى الجامعة. كما تكشف مراجعة البحوث العربية أن الاستخدام الفعلي للواقعين الافتراضي والمعزز في تعليم العلوم والرياضيات ظل في الغالب تجارب صغيرة النطاق (Abutayeh et al., 2022).</x:v>
      </x:c>
    </x:row>
    <x:row r="57" ht="36" hidden="0" customHeight="1">
      <x:c r="A57" s="22" t="str">
        <x:v>T004</x:v>
      </x:c>
      <x:c r="B57" s="16" t="str">
        <x:v>جدول</x:v>
      </x:c>
      <x:c r="C57" s="16" t="str">
        <x:v>MAP-009</x:v>
      </x:c>
      <x:c r="D57" s="16" t="str">
        <x:v>chapters/chapter-01/index.html#section-1-2</x:v>
      </x:c>
      <x:c r="E57" s="17" t="str">
        <x:v>الصياغة المركزية للمشكلة: الحاجة إلى بيئة واقع افتراضي غامر وتفاعلي، مجانية في نسختها التعليمية الأساسية، وموجهة إلى المرحلة الثانوية، تعالج محدودية التمثيل ثنائي الأبعاد للمجسمات والتحويلات، وتبدأ بتهيئة الطالب لاستخدام النظارة، ثم تتيح له استكشاف الخصائص الهندسية من خلال التفاعل المباشر ضمن تسلسل تربوي واضح.</x:v>
      </x:c>
    </x:row>
    <x:row r="58" ht="15" hidden="0" customHeight="1">
      <x:c r="A58" s="21" t="str">
        <x:v>P0049</x:v>
      </x:c>
      <x:c r="B58" s="13" t="str">
        <x:v>فقرة</x:v>
      </x:c>
      <x:c r="C58" s="13" t="str">
        <x:v>MAP-009</x:v>
      </x:c>
      <x:c r="D58" s="13" t="str">
        <x:v>chapters/chapter-01/index.html#section-1-2</x:v>
      </x:c>
      <x:c r="E58" s="14" t="str"/>
    </x:row>
    <x:row r="59" ht="15" hidden="0" customHeight="1">
      <x:c r="A59" s="22" t="str">
        <x:v>P0050</x:v>
      </x:c>
      <x:c r="B59" s="16" t="str">
        <x:v>فقرة</x:v>
      </x:c>
      <x:c r="C59" s="16" t="str">
        <x:v>MAP-009</x:v>
      </x:c>
      <x:c r="D59" s="16" t="str">
        <x:v>chapters/chapter-01/index.html#section-1-2</x:v>
      </x:c>
      <x:c r="E59" s="17" t="str">
        <x:v>جدول (1): من المشكلة التعليمية إلى المتطلب التصميمي</x:v>
      </x:c>
    </x:row>
    <x:row r="60" ht="108" hidden="0" customHeight="1">
      <x:c r="A60" s="21" t="str">
        <x:v>T005</x:v>
      </x:c>
      <x:c r="B60" s="13" t="str">
        <x:v>جدول</x:v>
      </x:c>
      <x:c r="C60" s="13" t="str">
        <x:v>MAP-009</x:v>
      </x:c>
      <x:c r="D60" s="13" t="str">
        <x:v>chapters/chapter-01/index.html#section-1-2</x:v>
      </x:c>
      <x:c r="E60" s="14" t="str">
        <x:v>المشكلة الصفية أو الإدراكية / الاستجابة التصميمية في التطبيق
رسم ثابت لمجسم ثلاثي الأبعاد / مجسم قابل للمشاهدة من زوايا متعددة والإمساك والتدوير.
الأوجه والحواف المحجوبة / إمكان الالتفاف حول الجسم وإظهار الأدلة والتسميات وإخفائها.
الخلط بين النقل والدوران وتغيير الحجم / فصل العمليات في مراحل وتحكمات واضحة مع إعادة الحالة.
انشغال الطالب بتعلم النظارة / مرحلة تهيئة مستقلة داخل البيئة قبل المحتوى الهندسي.
الخوف من الخطأ أو فقدان المجسم / زر إعادة المجسمات إلى نقاط البداية وإمكان تكرار المهمة.
ازدحام بصري وعبء معرفي / إظهار العناصر تدريجيًا داخل غرفة واحدة وإخفاء غير المطلوب.
كلفة بعض البدائل أو عدم إتاحتها / خطة نشر النسخة التعليمية الأساسية مجانًا للمعلم والطالب.
احتمال تحول الاستكشاف الحر إلى لعب منفصل عن الدرس / مهمات متدرجة وإرشاد صوتي عربي مرتبط بالأحداث يعيد توجيه الطالب إلى الهدف الهندسي.</x:v>
      </x:c>
    </x:row>
    <x:row r="61" ht="15" hidden="0" customHeight="1">
      <x:c r="A61" s="22" t="str">
        <x:v>P0051</x:v>
      </x:c>
      <x:c r="B61" s="16" t="str">
        <x:v>فقرة</x:v>
      </x:c>
      <x:c r="C61" s="16" t="str">
        <x:v>MAP-009</x:v>
      </x:c>
      <x:c r="D61" s="16" t="str">
        <x:v>chapters/chapter-01/index.html#section-1-2</x:v>
      </x:c>
      <x:c r="E61" s="17" t="str"/>
    </x:row>
    <x:row r="62" ht="15" hidden="0" customHeight="1">
      <x:c r="A62" s="21" t="str">
        <x:v>P0052</x:v>
      </x:c>
      <x:c r="B62" s="13" t="str">
        <x:v>فقرة</x:v>
      </x:c>
      <x:c r="C62" s="13" t="str">
        <x:v>MAP-010</x:v>
      </x:c>
      <x:c r="D62" s="13" t="str">
        <x:v>chapters/chapter-01/index.html#section-1-3</x:v>
      </x:c>
      <x:c r="E62" s="14" t="str">
        <x:v>1.3 سؤال البحث الرئيس</x:v>
      </x:c>
    </x:row>
    <x:row r="63" ht="24" hidden="0" customHeight="1">
      <x:c r="A63" s="22" t="str">
        <x:v>T006</x:v>
      </x:c>
      <x:c r="B63" s="16" t="str">
        <x:v>جدول</x:v>
      </x:c>
      <x:c r="C63" s="16" t="str">
        <x:v>MAP-010</x:v>
      </x:c>
      <x:c r="D63" s="16" t="str">
        <x:v>chapters/chapter-01/index.html#section-1-3</x:v>
      </x:c>
      <x:c r="E63" s="17" t="str">
        <x:v>السؤال الرئيس: كيف يمكن تصميم وتطوير بيئة واقع افتراضي غامر وتفاعلي، وفق مواصفات تربوية وتقنية حديثة، لتعليم الهندسة الفراغية والتحويلات الهندسية لدى طلبة المرحلة الثانوية؟</x:v>
      </x:c>
    </x:row>
    <x:row r="64" ht="15" hidden="0" customHeight="1">
      <x:c r="A64" s="21" t="str">
        <x:v>P0053</x:v>
      </x:c>
      <x:c r="B64" s="13" t="str">
        <x:v>فقرة</x:v>
      </x:c>
      <x:c r="C64" s="13" t="str">
        <x:v>MAP-010</x:v>
      </x:c>
      <x:c r="D64" s="13" t="str">
        <x:v>chapters/chapter-01/index.html#section-1-3</x:v>
      </x:c>
      <x:c r="E64" s="14" t="str"/>
    </x:row>
    <x:row r="65" ht="15" hidden="0" customHeight="1">
      <x:c r="A65" s="22" t="str">
        <x:v>P0054</x:v>
      </x:c>
      <x:c r="B65" s="16" t="str">
        <x:v>فقرة</x:v>
      </x:c>
      <x:c r="C65" s="16" t="str">
        <x:v>MAP-011</x:v>
      </x:c>
      <x:c r="D65" s="16" t="str">
        <x:v>chapters/chapter-01/index.html#section-1-4</x:v>
      </x:c>
      <x:c r="E65" s="17" t="str">
        <x:v>1.4 الأسئلة الفرعية</x:v>
      </x:c>
    </x:row>
    <x:row r="66" ht="15" hidden="0" customHeight="1">
      <x:c r="A66" s="21" t="str">
        <x:v>P0055</x:v>
      </x:c>
      <x:c r="B66" s="13" t="str">
        <x:v>فقرة</x:v>
      </x:c>
      <x:c r="C66" s="13" t="str">
        <x:v>MAP-011</x:v>
      </x:c>
      <x:c r="D66" s="13" t="str">
        <x:v>chapters/chapter-01/index.html#section-1-4</x:v>
      </x:c>
      <x:c r="E66" s="14" t="str">
        <x:v>ما المتطلبات التربوية والتقنية التي ينبغي أن تتوافر في البيئة المقترحة؟</x:v>
      </x:c>
    </x:row>
    <x:row r="67" ht="15" hidden="0" customHeight="1">
      <x:c r="A67" s="22" t="str">
        <x:v>P0056</x:v>
      </x:c>
      <x:c r="B67" s="16" t="str">
        <x:v>فقرة</x:v>
      </x:c>
      <x:c r="C67" s="16" t="str">
        <x:v>MAP-011</x:v>
      </x:c>
      <x:c r="D67" s="16" t="str">
        <x:v>chapters/chapter-01/index.html#section-1-4</x:v>
      </x:c>
      <x:c r="E67" s="17" t="str">
        <x:v>ما النموذج التعليمي الأنسب لتنظيم انتقال الطالب من التهيئة إلى استكشاف المجسمات ثم التحويلات؟</x:v>
      </x:c>
    </x:row>
    <x:row r="68" ht="15" hidden="0" customHeight="1">
      <x:c r="A68" s="21" t="str">
        <x:v>P0057</x:v>
      </x:c>
      <x:c r="B68" s="13" t="str">
        <x:v>فقرة</x:v>
      </x:c>
      <x:c r="C68" s="13" t="str">
        <x:v>MAP-011</x:v>
      </x:c>
      <x:c r="D68" s="13" t="str">
        <x:v>chapters/chapter-01/index.html#section-1-4</x:v>
      </x:c>
      <x:c r="E68" s="14" t="str">
        <x:v>كيف تُترجم المتطلبات إلى مشاهد وتفاعلات وواجهات داخل Unity وMeta Quest 3S؟</x:v>
      </x:c>
    </x:row>
    <x:row r="69" ht="15" hidden="0" customHeight="1">
      <x:c r="A69" s="22" t="str">
        <x:v>P0058</x:v>
      </x:c>
      <x:c r="B69" s="16" t="str">
        <x:v>فقرة</x:v>
      </x:c>
      <x:c r="C69" s="16" t="str">
        <x:v>MAP-011</x:v>
      </x:c>
      <x:c r="D69" s="16" t="str">
        <x:v>chapters/chapter-01/index.html#section-1-4</x:v>
      </x:c>
      <x:c r="E69" s="17" t="str">
        <x:v>إلى أي مدى تحققت الوظائف الأساسية في النموذج المطور وفق اختبارات التحقق الوظيفي؟</x:v>
      </x:c>
    </x:row>
    <x:row r="70" ht="15" hidden="0" customHeight="1">
      <x:c r="A70" s="21" t="str">
        <x:v>P0059</x:v>
      </x:c>
      <x:c r="B70" s="13" t="str">
        <x:v>فقرة</x:v>
      </x:c>
      <x:c r="C70" s="13" t="str">
        <x:v>MAP-011</x:v>
      </x:c>
      <x:c r="D70" s="13" t="str">
        <x:v>chapters/chapter-01/index.html#section-1-4</x:v>
      </x:c>
      <x:c r="E70" s="14" t="str">
        <x:v>ما الصعوبات التي ظهرت أثناء التطوير، وما القرارات التي نتجت عن معالجتها؟</x:v>
      </x:c>
    </x:row>
    <x:row r="71" ht="15" hidden="0" customHeight="1">
      <x:c r="A71" s="22" t="str">
        <x:v>P0060</x:v>
      </x:c>
      <x:c r="B71" s="16" t="str">
        <x:v>فقرة</x:v>
      </x:c>
      <x:c r="C71" s="16" t="str">
        <x:v>MAP-011</x:v>
      </x:c>
      <x:c r="D71" s="16" t="str">
        <x:v>chapters/chapter-01/index.html#section-1-4</x:v>
      </x:c>
      <x:c r="E71" s="17" t="str">
        <x:v>ما أوجه تميز البيئة المقترحة وحدودها مقارنة بالدراسات والتطبيقات القريبة؟</x:v>
      </x:c>
    </x:row>
    <x:row r="72" ht="15" hidden="0" customHeight="1">
      <x:c r="A72" s="21" t="str">
        <x:v>P0061</x:v>
      </x:c>
      <x:c r="B72" s="13" t="str">
        <x:v>فقرة</x:v>
      </x:c>
      <x:c r="C72" s="13" t="str">
        <x:v>MAP-012</x:v>
      </x:c>
      <x:c r="D72" s="13" t="str">
        <x:v>chapters/chapter-01/index.html#section-1-5</x:v>
      </x:c>
      <x:c r="E72" s="14" t="str">
        <x:v>1.5 أهداف البحث</x:v>
      </x:c>
    </x:row>
    <x:row r="73" ht="15" hidden="0" customHeight="1">
      <x:c r="A73" s="22" t="str">
        <x:v>P0062</x:v>
      </x:c>
      <x:c r="B73" s="16" t="str">
        <x:v>فقرة</x:v>
      </x:c>
      <x:c r="C73" s="16" t="str">
        <x:v>MAP-012</x:v>
      </x:c>
      <x:c r="D73" s="16" t="str">
        <x:v>chapters/chapter-01/index.html#section-1-5</x:v>
      </x:c>
      <x:c r="E73" s="17" t="str">
        <x:v>تحليل المشكلة التعليمية المرتبطة بعرض المجسمات والتحويلات في تمثيلات ثنائية الأبعاد.</x:v>
      </x:c>
    </x:row>
    <x:row r="74" ht="15" hidden="0" customHeight="1">
      <x:c r="A74" s="21" t="str">
        <x:v>P0063</x:v>
      </x:c>
      <x:c r="B74" s="13" t="str">
        <x:v>فقرة</x:v>
      </x:c>
      <x:c r="C74" s="13" t="str">
        <x:v>MAP-012</x:v>
      </x:c>
      <x:c r="D74" s="13" t="str">
        <x:v>chapters/chapter-01/index.html#section-1-5</x:v>
      </x:c>
      <x:c r="E74" s="14" t="str">
        <x:v>اشتقاق مجموعة مواصفات تربوية وتقنية لبيئة واقع افتراضي تعليمية موجهة للمرحلة الثانوية.</x:v>
      </x:c>
    </x:row>
    <x:row r="75" ht="15" hidden="0" customHeight="1">
      <x:c r="A75" s="22" t="str">
        <x:v>P0064</x:v>
      </x:c>
      <x:c r="B75" s="16" t="str">
        <x:v>فقرة</x:v>
      </x:c>
      <x:c r="C75" s="16" t="str">
        <x:v>MAP-012</x:v>
      </x:c>
      <x:c r="D75" s="16" t="str">
        <x:v>chapters/chapter-01/index.html#section-1-5</x:v>
      </x:c>
      <x:c r="E75" s="17" t="str">
        <x:v>تصميم تسلسل تعلم يبدأ بالتهيئة الحركية والتقنية ثم ينتقل إلى المجسمات فالتحويلات.</x:v>
      </x:c>
    </x:row>
    <x:row r="76" ht="15" hidden="0" customHeight="1">
      <x:c r="A76" s="21" t="str">
        <x:v>P0065</x:v>
      </x:c>
      <x:c r="B76" s="13" t="str">
        <x:v>فقرة</x:v>
      </x:c>
      <x:c r="C76" s="13" t="str">
        <x:v>MAP-012</x:v>
      </x:c>
      <x:c r="D76" s="13" t="str">
        <x:v>chapters/chapter-01/index.html#section-1-5</x:v>
      </x:c>
      <x:c r="E76" s="14" t="str">
        <x:v>تطوير نموذج وظيفي باستخدام Unity وOpenXR وXR Interaction Toolkit وتشغيله بواسطة Meta Quest 3S.</x:v>
      </x:c>
    </x:row>
    <x:row r="77" ht="15" hidden="0" customHeight="1">
      <x:c r="A77" s="22" t="str">
        <x:v>P0066</x:v>
      </x:c>
      <x:c r="B77" s="16" t="str">
        <x:v>فقرة</x:v>
      </x:c>
      <x:c r="C77" s="16" t="str">
        <x:v>MAP-012</x:v>
      </x:c>
      <x:c r="D77" s="16" t="str">
        <x:v>chapters/chapter-01/index.html#section-1-5</x:v>
      </x:c>
      <x:c r="E77" s="17" t="str">
        <x:v>توثيق تاريخ التطوير، والمشكلات التقنية، والحلول، والقرارات التربوية الناتجة عنها.</x:v>
      </x:c>
    </x:row>
    <x:row r="78" ht="15" hidden="0" customHeight="1">
      <x:c r="A78" s="21" t="str">
        <x:v>P0067</x:v>
      </x:c>
      <x:c r="B78" s="13" t="str">
        <x:v>فقرة</x:v>
      </x:c>
      <x:c r="C78" s="13" t="str">
        <x:v>MAP-012</x:v>
      </x:c>
      <x:c r="D78" s="13" t="str">
        <x:v>chapters/chapter-01/index.html#section-1-5</x:v>
      </x:c>
      <x:c r="E78" s="14" t="str">
        <x:v>التحقق من الوظائف المنجزة من خلال اختبارات تشغيل مباشرة ومصفوفة تتبع بين المتطلبات والمخرجات.</x:v>
      </x:c>
    </x:row>
    <x:row r="79" ht="15" hidden="0" customHeight="1">
      <x:c r="A79" s="22" t="str">
        <x:v>P0068</x:v>
      </x:c>
      <x:c r="B79" s="16" t="str">
        <x:v>فقرة</x:v>
      </x:c>
      <x:c r="C79" s="16" t="str">
        <x:v>MAP-012</x:v>
      </x:c>
      <x:c r="D79" s="16" t="str">
        <x:v>chapters/chapter-01/index.html#section-1-5</x:v>
      </x:c>
      <x:c r="E79" s="17" t="str">
        <x:v>توظيف إرشاد صوتي عربي موجز ومتزامن مع أحداث المشهد، يوجه الطالب ويحفزه ويتابع تقدمه من دون أن يلغي الاستكشاف أو يزيد العبء المعرفي.</x:v>
      </x:c>
    </x:row>
    <x:row r="80" ht="15" hidden="0" customHeight="1">
      <x:c r="A80" s="21" t="str">
        <x:v>P0069</x:v>
      </x:c>
      <x:c r="B80" s="13" t="str">
        <x:v>فقرة</x:v>
      </x:c>
      <x:c r="C80" s="13" t="str">
        <x:v>MAP-012</x:v>
      </x:c>
      <x:c r="D80" s="13" t="str">
        <x:v>chapters/chapter-01/index.html#section-1-5</x:v>
      </x:c>
      <x:c r="E80" s="14" t="str">
        <x:v>اقتراح سياسة نشر مجانية وخطة تطوير وتقييم لاحق من دون ادعاء أثر تعليمي لم يُقَس.</x:v>
      </x:c>
    </x:row>
    <x:row r="81" ht="15" hidden="0" customHeight="1">
      <x:c r="A81" s="22" t="str">
        <x:v>P0070</x:v>
      </x:c>
      <x:c r="B81" s="16" t="str">
        <x:v>فقرة</x:v>
      </x:c>
      <x:c r="C81" s="16" t="str">
        <x:v>MAP-013</x:v>
      </x:c>
      <x:c r="D81" s="16" t="str">
        <x:v>chapters/chapter-01/index.html#section-1-6</x:v>
      </x:c>
      <x:c r="E81" s="17" t="str">
        <x:v>1.6 أهمية البحث</x:v>
      </x:c>
    </x:row>
    <x:row r="82" ht="15" hidden="0" customHeight="1">
      <x:c r="A82" s="21" t="str">
        <x:v>P0071</x:v>
      </x:c>
      <x:c r="B82" s="13" t="str">
        <x:v>فقرة</x:v>
      </x:c>
      <x:c r="C82" s="13" t="str">
        <x:v>MAP-014</x:v>
      </x:c>
      <x:c r="D82" s="13" t="str">
        <x:v>chapters/chapter-01/index.html#section-1-6-1</x:v>
      </x:c>
      <x:c r="E82" s="14" t="str">
        <x:v>1.6.1 الأهمية التربوية</x:v>
      </x:c>
    </x:row>
    <x:row r="83" ht="24" hidden="0" customHeight="1">
      <x:c r="A83" s="22" t="str">
        <x:v>P0072</x:v>
      </x:c>
      <x:c r="B83" s="16" t="str">
        <x:v>فقرة</x:v>
      </x:c>
      <x:c r="C83" s="16" t="str">
        <x:v>MAP-014</x:v>
      </x:c>
      <x:c r="D83" s="16" t="str">
        <x:v>chapters/chapter-01/index.html#section-1-6-1</x:v>
      </x:c>
      <x:c r="E83" s="17" t="str">
        <x:v>يقدم البحث تصورًا عمليًا لكيفية تحويل الطالب من متلقٍ لرسم هندسي إلى متعلم نشط يغيّر زاوية النظر ويمسك الجسم ويعيد توجيهه. كما يبرز قيمة مرحلة التهيئة، وهي مرحلة كثيرًا ما تعالج خارج التطبيق في صورة تعليمات شفوية، بينما جعلها المشروع جزءًا من الخبرة التعليمية نفسها.</x:v>
      </x:c>
    </x:row>
    <x:row r="84" ht="15" hidden="0" customHeight="1">
      <x:c r="A84" s="21" t="str">
        <x:v>P0073</x:v>
      </x:c>
      <x:c r="B84" s="13" t="str">
        <x:v>فقرة</x:v>
      </x:c>
      <x:c r="C84" s="13" t="str">
        <x:v>MAP-015</x:v>
      </x:c>
      <x:c r="D84" s="13" t="str">
        <x:v>chapters/chapter-01/index.html#section-1-6-2</x:v>
      </x:c>
      <x:c r="E84" s="14" t="str">
        <x:v>1.6.2 الأهمية التصميمية</x:v>
      </x:c>
    </x:row>
    <x:row r="85" ht="36" hidden="0" customHeight="1">
      <x:c r="A85" s="22" t="str">
        <x:v>P0074</x:v>
      </x:c>
      <x:c r="B85" s="16" t="str">
        <x:v>فقرة</x:v>
      </x:c>
      <x:c r="C85" s="16" t="str">
        <x:v>MAP-015</x:v>
      </x:c>
      <x:c r="D85" s="16" t="str">
        <x:v>chapters/chapter-01/index.html#section-1-6-2</x:v>
      </x:c>
      <x:c r="E85" s="17" t="str">
        <x:v>يربط البحث كل وظيفة بسبب تربوي: زر الإعادة ليس راحة تقنية فقط، بل يسمح بالمحاولة الآمنة؛ وإخفاء التسميات لا يمثل تفضيلًا بصريًا فقط، بل يدعم التدرج وتقليل العبء؛ والبقاء في غرفة واحدة يقلل فقدان الاتجاه وإعادة التكيف مع مكان جديد؛ أما الصوت العربي فلا يُستخدم للزينة، بل لإعطاء تعليمات قصيرة في لحظة الحاجة، وتحفيز الطالب، ومتابعة تقدمه، وربط اللعب التمهيدي بالمهمة التعليمية اللاحقة.</x:v>
      </x:c>
    </x:row>
    <x:row r="86" ht="15" hidden="0" customHeight="1">
      <x:c r="A86" s="21" t="str">
        <x:v>P0075</x:v>
      </x:c>
      <x:c r="B86" s="13" t="str">
        <x:v>فقرة</x:v>
      </x:c>
      <x:c r="C86" s="13" t="str">
        <x:v>MAP-016</x:v>
      </x:c>
      <x:c r="D86" s="13" t="str">
        <x:v>chapters/chapter-01/index.html#section-1-6-3</x:v>
      </x:c>
      <x:c r="E86" s="14" t="str">
        <x:v>1.6.3 الأهمية التطبيقية</x:v>
      </x:c>
    </x:row>
    <x:row r="87" ht="24" hidden="0" customHeight="1">
      <x:c r="A87" s="22" t="str">
        <x:v>P0076</x:v>
      </x:c>
      <x:c r="B87" s="16" t="str">
        <x:v>فقرة</x:v>
      </x:c>
      <x:c r="C87" s="16" t="str">
        <x:v>MAP-016</x:v>
      </x:c>
      <x:c r="D87" s="16" t="str">
        <x:v>chapters/chapter-01/index.html#section-1-6-3</x:v>
      </x:c>
      <x:c r="E87" s="17" t="str">
        <x:v>يوثق البحث نموذجًا قابلًا للتطوير لمدرسة أو معلم عربي، ويبين الأدوات والمراحل والمشكلات الحقيقية بدل تقديم وصف عام للتقنية. كما يضع الإتاحة المجانية هدفًا من أهداف المنتج، مع حفظ حقوق الملكية الفكرية.</x:v>
      </x:c>
    </x:row>
    <x:row r="88" ht="15" hidden="0" customHeight="1">
      <x:c r="A88" s="21" t="str">
        <x:v>P0077</x:v>
      </x:c>
      <x:c r="B88" s="13" t="str">
        <x:v>فقرة</x:v>
      </x:c>
      <x:c r="C88" s="13" t="str">
        <x:v>MAP-017</x:v>
      </x:c>
      <x:c r="D88" s="13" t="str">
        <x:v>chapters/chapter-01/index.html#section-1-6-4</x:v>
      </x:c>
      <x:c r="E88" s="14" t="str">
        <x:v>1.6.4 الأهمية البحثية</x:v>
      </x:c>
    </x:row>
    <x:row r="89" ht="24" hidden="0" customHeight="1">
      <x:c r="A89" s="22" t="str">
        <x:v>P0078</x:v>
      </x:c>
      <x:c r="B89" s="16" t="str">
        <x:v>فقرة</x:v>
      </x:c>
      <x:c r="C89" s="16" t="str">
        <x:v>MAP-017</x:v>
      </x:c>
      <x:c r="D89" s="16" t="str">
        <x:v>chapters/chapter-01/index.html#section-1-6-4</x:v>
      </x:c>
      <x:c r="E89" s="17" t="str">
        <x:v>يضيف البحث مثالًا على دراسات التصميم والتطوير في سياق عربي، ويبين أن البحث التربوي لا يقتصر على الاستبانة والعينة؛ إذ يمكن أن تكون مساهمته منتجًا تعليميًا موثق المتطلبات والقرارات والاختبارات، على أن تُفصل عنه دراسة الفاعلية البشرية اللاحقة.</x:v>
      </x:c>
    </x:row>
    <x:row r="90" ht="15" hidden="0" customHeight="1">
      <x:c r="A90" s="21" t="str">
        <x:v>P0079</x:v>
      </x:c>
      <x:c r="B90" s="13" t="str">
        <x:v>فقرة</x:v>
      </x:c>
      <x:c r="C90" s="13" t="str">
        <x:v>MAP-018</x:v>
      </x:c>
      <x:c r="D90" s="13" t="str">
        <x:v>chapters/chapter-01/index.html#section-1-7</x:v>
      </x:c>
      <x:c r="E90" s="14" t="str">
        <x:v>1.7 حدود البحث</x:v>
      </x:c>
    </x:row>
    <x:row r="91" ht="15" hidden="0" customHeight="1">
      <x:c r="A91" s="22" t="str">
        <x:v>P0080</x:v>
      </x:c>
      <x:c r="B91" s="16" t="str">
        <x:v>فقرة</x:v>
      </x:c>
      <x:c r="C91" s="16" t="str">
        <x:v>MAP-018</x:v>
      </x:c>
      <x:c r="D91" s="16" t="str">
        <x:v>chapters/chapter-01/index.html#section-1-7</x:v>
      </x:c>
      <x:c r="E91" s="17" t="str">
        <x:v>حدود البحث</x:v>
      </x:c>
    </x:row>
    <x:row r="92" ht="84" hidden="0" customHeight="1">
      <x:c r="A92" s="21" t="str">
        <x:v>T007</x:v>
      </x:c>
      <x:c r="B92" s="13" t="str">
        <x:v>جدول</x:v>
      </x:c>
      <x:c r="C92" s="13" t="str">
        <x:v>MAP-018</x:v>
      </x:c>
      <x:c r="D92" s="13" t="str">
        <x:v>chapters/chapter-01/index.html#section-1-7</x:v>
      </x:c>
      <x:c r="E92" s="14" t="str">
        <x:v>البعد / الحدود
موضوعية / تهيئة استخدام الواقع الافتراضي، خصائص المجسمات الأساسية، وتصميم التحويلات الهندسية.
تقنية / Unity 6.4 (6000.4.1f1)، OpenXR، XR Interaction Toolkit، وMeta Quest 3S.
زمنية / توثق النسخة حالة المشروع حتى 29 تموز/يوليو 2026.
إجرائية / اختبارات مطور وظيفية وتقنية؛ لا عينة بشرية ولا قياس تحصيل أو اتجاهات.
محتوى منجز / التهيئة ومختبر المجسمات في حالة نموذج وظيفي؛ مختبر التحويلات قيد التطوير.
تعميم / لا تُعمم نتائج البحث على تعلم الطلبة، لأنها لا تتضمن تجربة بشرية.</x:v>
      </x:c>
    </x:row>
    <x:row r="93" ht="15" hidden="0" customHeight="1">
      <x:c r="A93" s="22" t="str">
        <x:v>P0081</x:v>
      </x:c>
      <x:c r="B93" s="16" t="str">
        <x:v>فقرة</x:v>
      </x:c>
      <x:c r="C93" s="16" t="str">
        <x:v>MAP-018</x:v>
      </x:c>
      <x:c r="D93" s="16" t="str">
        <x:v>chapters/chapter-01/index.html#section-1-7</x:v>
      </x:c>
      <x:c r="E93" s="17" t="str"/>
    </x:row>
    <x:row r="94" ht="15" hidden="0" customHeight="1">
      <x:c r="A94" s="21" t="str">
        <x:v>P0082</x:v>
      </x:c>
      <x:c r="B94" s="13" t="str">
        <x:v>فقرة</x:v>
      </x:c>
      <x:c r="C94" s="13" t="str">
        <x:v>MAP-019</x:v>
      </x:c>
      <x:c r="D94" s="13" t="str">
        <x:v>chapters/chapter-01/index.html#section-1-8</x:v>
      </x:c>
      <x:c r="E94" s="14" t="str">
        <x:v>1.8 مصطلحات البحث</x:v>
      </x:c>
    </x:row>
    <x:row r="95" ht="24" hidden="0" customHeight="1">
      <x:c r="A95" s="22" t="str">
        <x:v>P0083</x:v>
      </x:c>
      <x:c r="B95" s="16" t="str">
        <x:v>فقرة</x:v>
      </x:c>
      <x:c r="C95" s="16" t="str">
        <x:v>MAP-019</x:v>
      </x:c>
      <x:c r="D95" s="16" t="str">
        <x:v>chapters/chapter-01/index.html#section-1-8</x:v>
      </x:c>
      <x:c r="E95" s="17" t="str">
        <x:v>الواقع الافتراضي الغامر: بيئة رقمية ثلاثية الأبعاد تُعرض عبر نظارة تتبع حركة الرأس ووحدات التحكم، بحيث يشعر المستخدم بالحضور داخلها ويستجيب المشهد لحركته.</x:v>
      </x:c>
    </x:row>
    <x:row r="96" ht="15" hidden="0" customHeight="1">
      <x:c r="A96" s="21" t="str">
        <x:v>P0084</x:v>
      </x:c>
      <x:c r="B96" s="13" t="str">
        <x:v>فقرة</x:v>
      </x:c>
      <x:c r="C96" s="13" t="str">
        <x:v>MAP-019</x:v>
      </x:c>
      <x:c r="D96" s="13" t="str">
        <x:v>chapters/chapter-01/index.html#section-1-8</x:v>
      </x:c>
      <x:c r="E96" s="14" t="str">
        <x:v>التفاعل المباشر: قدرة المستخدم على الإمساك بالمجسم أو تحديده أو نقله أو تدويره أو الضغط على واجهات التحكم باستخدام وحدات تحكم الواقع الافتراضي.</x:v>
      </x:c>
    </x:row>
    <x:row r="97" ht="15" hidden="0" customHeight="1">
      <x:c r="A97" s="22" t="str">
        <x:v>P0085</x:v>
      </x:c>
      <x:c r="B97" s="16" t="str">
        <x:v>فقرة</x:v>
      </x:c>
      <x:c r="C97" s="16" t="str">
        <x:v>MAP-019</x:v>
      </x:c>
      <x:c r="D97" s="16" t="str">
        <x:v>chapters/chapter-01/index.html#section-1-8</x:v>
      </x:c>
      <x:c r="E97" s="17" t="str">
        <x:v>الهندسة الفراغية: دراسة الأجسام والعلاقات الهندسية في ثلاثة أبعاد، بما يشمل الأوجه والحواف والرؤوس والسطوح والمواضع والاتجاهات.</x:v>
      </x:c>
    </x:row>
    <x:row r="98" ht="15" hidden="0" customHeight="1">
      <x:c r="A98" s="21" t="str">
        <x:v>P0086</x:v>
      </x:c>
      <x:c r="B98" s="13" t="str">
        <x:v>فقرة</x:v>
      </x:c>
      <x:c r="C98" s="13" t="str">
        <x:v>MAP-019</x:v>
      </x:c>
      <x:c r="D98" s="13" t="str">
        <x:v>chapters/chapter-01/index.html#section-1-8</x:v>
      </x:c>
      <x:c r="E98" s="14" t="str">
        <x:v>التحويلات الهندسية: عمليات تغير موضع الجسم أو اتجاهه أو حجمه؛ ويشمل نطاق التصميم الحالي الانسحاب والدوران والتكبير والتصغير، مع إمكان توسيعه لاحقًا.</x:v>
      </x:c>
    </x:row>
    <x:row r="99" ht="24" hidden="0" customHeight="1">
      <x:c r="A99" s="22" t="str">
        <x:v>P0087</x:v>
      </x:c>
      <x:c r="B99" s="16" t="str">
        <x:v>فقرة</x:v>
      </x:c>
      <x:c r="C99" s="16" t="str">
        <x:v>MAP-019</x:v>
      </x:c>
      <x:c r="D99" s="16" t="str">
        <x:v>chapters/chapter-01/index.html#section-1-8</x:v>
      </x:c>
      <x:c r="E99" s="17" t="str">
        <x:v>التصور الفراغي: القدرة على تكوين تمثيلات ذهنية للأجسام والعلاقات المكانية وتدويرها أو تحويلها ذهنيًا. يُستخدم هنا بوصفه أساسًا نظريًا وهدفًا مستقبليًا، ولم يُقَس تجريبيًا.</x:v>
      </x:c>
    </x:row>
    <x:row r="100" ht="24" hidden="0" customHeight="1">
      <x:c r="A100" s="21" t="str">
        <x:v>P0088</x:v>
      </x:c>
      <x:c r="B100" s="13" t="str">
        <x:v>فقرة</x:v>
      </x:c>
      <x:c r="C100" s="13" t="str">
        <x:v>MAP-019</x:v>
      </x:c>
      <x:c r="D100" s="13" t="str">
        <x:v>chapters/chapter-01/index.html#section-1-8</x:v>
      </x:c>
      <x:c r="E100" s="14" t="str">
        <x:v>البحث التطويري: دراسة منهجية لعمليات تحليل منتج تعليمي وتصميمه وتطويره وتقويمه، حيث يكون المنتج والقرارات المتصلة به محور البحث (Richey &amp; Klein, 2007).</x:v>
      </x:c>
    </x:row>
    <x:row r="101" ht="15" hidden="0" customHeight="1">
      <x:c r="A101" s="22" t="str">
        <x:v>P0089</x:v>
      </x:c>
      <x:c r="B101" s="16" t="str">
        <x:v>فقرة</x:v>
      </x:c>
      <x:c r="C101" s="16" t="str">
        <x:v>MAP-019</x:v>
      </x:c>
      <x:c r="D101" s="16" t="str">
        <x:v>chapters/chapter-01/index.html#section-1-8</x:v>
      </x:c>
      <x:c r="E101" s="17" t="str">
        <x:v>التحقق الوظيفي: فحص ما إذا كانت الوظيفة البرمجية تؤدي السلوك المحدد لها في ظروف التشغيل، دون مساواة ذلك بقياس الأثر التعليمي على المتعلمين.</x:v>
      </x:c>
    </x:row>
    <x:row r="102" ht="24" hidden="0" customHeight="1">
      <x:c r="A102" s="21" t="str">
        <x:v>P0090</x:v>
      </x:c>
      <x:c r="B102" s="13" t="str">
        <x:v>فقرة</x:v>
      </x:c>
      <x:c r="C102" s="13" t="str">
        <x:v>MAP-019</x:v>
      </x:c>
      <x:c r="D102" s="13" t="str">
        <x:v>chapters/chapter-01/index.html#section-1-8</x:v>
      </x:c>
      <x:c r="E102" s="14" t="str">
        <x:v>الإرشاد الصوتي العربي: مقاطع صوتية قصيرة باللغة العربية تُشغَّل استجابةً لأحداث محددة داخل المشهد، مثل بدء المهمة أو إنجازها أو الانتقال إلى خطوة لاحقة، وتهدف إلى توجيه الانتباه، ودعم الاستقلال، والتحفيز، والمحافظة على ارتباط التفاعل بالهدف التعليمي.</x:v>
      </x:c>
    </x:row>
    <x:row r="103" ht="15" hidden="0" customHeight="1">
      <x:c r="A103" s="22" t="str">
        <x:v>P0091</x:v>
      </x:c>
      <x:c r="B103" s="16" t="str">
        <x:v>فقرة</x:v>
      </x:c>
      <x:c r="C103" s="16" t="str">
        <x:v>MAP-020</x:v>
      </x:c>
      <x:c r="D103" s="16" t="str">
        <x:v>chapters/chapter-01/index.html#section-1-9</x:v>
      </x:c>
      <x:c r="E103" s="17" t="str">
        <x:v>1.9 تنظيم البحث</x:v>
      </x:c>
    </x:row>
    <x:row r="104" ht="36" hidden="0" customHeight="1">
      <x:c r="A104" s="21" t="str">
        <x:v>P0092</x:v>
      </x:c>
      <x:c r="B104" s="13" t="str">
        <x:v>فقرة</x:v>
      </x:c>
      <x:c r="C104" s="13" t="str">
        <x:v>MAP-020</x:v>
      </x:c>
      <x:c r="D104" s="13" t="str">
        <x:v>chapters/chapter-01/index.html#section-1-9</x:v>
      </x:c>
      <x:c r="E104" s="14" t="str">
        <x:v>يتكون البحث من خمسة فصول. يعرض الفصل الأول المشكلة والأهداف والأسئلة والحدود. ويبني الفصل الثاني الإطار النظري ويراجع الدراسات والتطبيقات السابقة. ويصف الفصل الثالث منهج التصميم والتطوير، وأدوات التوثيق، وتاريخ المشروع، والبنية التربوية والتقنية. ويعرض الفصل الرابع نتائج المنتج ومصفوفة التحقق. ويناقش الفصل الخامس النتائج التصميمية والحدود والتوصيات وخطة التطوير، ثم تأتي المراجع والملاحق.</x:v>
      </x:c>
    </x:row>
    <x:row r="105" ht="15" hidden="0" customHeight="1">
      <x:c r="A105" s="22" t="str">
        <x:v>P0093</x:v>
      </x:c>
      <x:c r="B105" s="16" t="str">
        <x:v>فقرة</x:v>
      </x:c>
      <x:c r="C105" s="16" t="str">
        <x:v>MAP-020</x:v>
      </x:c>
      <x:c r="D105" s="16" t="str">
        <x:v>chapters/chapter-01/index.html#section-1-9</x:v>
      </x:c>
      <x:c r="E105" s="17" t="str"/>
    </x:row>
    <x:row r="106" ht="15" hidden="0" customHeight="1">
      <x:c r="A106" s="21" t="str">
        <x:v>P0094</x:v>
      </x:c>
      <x:c r="B106" s="13" t="str">
        <x:v>فقرة</x:v>
      </x:c>
      <x:c r="C106" s="13" t="str">
        <x:v>MAP-021</x:v>
      </x:c>
      <x:c r="D106" s="13" t="str">
        <x:v>chapters/chapter-02/index.html</x:v>
      </x:c>
      <x:c r="E106" s="14" t="str">
        <x:v>الفصل الثاني: الإطار النظري والدراسات السابقة</x:v>
      </x:c>
    </x:row>
    <x:row r="107" ht="15" hidden="0" customHeight="1">
      <x:c r="A107" s="22" t="str">
        <x:v>P0095</x:v>
      </x:c>
      <x:c r="B107" s="16" t="str">
        <x:v>فقرة</x:v>
      </x:c>
      <x:c r="C107" s="16" t="str">
        <x:v>MAP-022</x:v>
      </x:c>
      <x:c r="D107" s="16" t="str">
        <x:v>chapters/chapter-02/index.html#section-2-1</x:v>
      </x:c>
      <x:c r="E107" s="17" t="str">
        <x:v>2.1 طبيعة تعلم الهندسة الفراغية</x:v>
      </x:c>
    </x:row>
    <x:row r="108" ht="36" hidden="0" customHeight="1">
      <x:c r="A108" s="21" t="str">
        <x:v>P0096</x:v>
      </x:c>
      <x:c r="B108" s="13" t="str">
        <x:v>فقرة</x:v>
      </x:c>
      <x:c r="C108" s="13" t="str">
        <x:v>MAP-022</x:v>
      </x:c>
      <x:c r="D108" s="13" t="str">
        <x:v>chapters/chapter-02/index.html#section-2-1</x:v>
      </x:c>
      <x:c r="E108" s="14" t="str">
        <x:v>يتطلب فهم المجسمات الانتقال المستمر بين الشيء وتمثيله: بين المكعب الحقيقي ورسمه المنظوري، وبين شبكة الأوجه والجسم بعد الطي، وبين المنظر الأمامي والجانبي والعلوي، وبين الحالة الأصلية والحالة بعد الدوران. ولا تكمن الصعوبة في حفظ عدد الأوجه أو الحواف فقط، بل في بناء بنية مكانية مترابطة تفسر موضع كل عنصر وعلاقته بالعناصر الأخرى.</x:v>
      </x:c>
    </x:row>
    <x:row r="109" ht="36" hidden="0" customHeight="1">
      <x:c r="A109" s="22" t="str">
        <x:v>P0097</x:v>
      </x:c>
      <x:c r="B109" s="16" t="str">
        <x:v>فقرة</x:v>
      </x:c>
      <x:c r="C109" s="16" t="str">
        <x:v>MAP-022</x:v>
      </x:c>
      <x:c r="D109" s="16" t="str">
        <x:v>chapters/chapter-02/index.html#section-2-1</x:v>
      </x:c>
      <x:c r="E109" s="17" t="str">
        <x:v>تشير الأدبيات إلى أن المهارات المكانية قابلة للتدريب وليست قدرة ثابتة؛ فقد خلص التحليل البعدي الذي أجراه Uttal وزملاؤه (2013) إلى أن التدريب يمكن أن يحسن الأداء المكاني وأن أثره قد ينتقل إلى مهمات غير مدربة. كما ترتبط القدرة المكانية بالتعلم والعمل في مجالات العلوم والتكنولوجيا والهندسة والرياضيات (Uttal &amp; Cohen, 2012). وهذا يجعل تصميم تمثيلات وتفاعلات مكانية جزءًا من عدالة التعلم لا إضافة تجميلية.</x:v>
      </x:c>
    </x:row>
    <x:row r="110" ht="15" hidden="0" customHeight="1">
      <x:c r="A110" s="21" t="str">
        <x:v>P0098</x:v>
      </x:c>
      <x:c r="B110" s="13" t="str">
        <x:v>فقرة</x:v>
      </x:c>
      <x:c r="C110" s="13" t="str">
        <x:v>MAP-023</x:v>
      </x:c>
      <x:c r="D110" s="13" t="str">
        <x:v>chapters/chapter-02/index.html#section-2-2</x:v>
      </x:c>
      <x:c r="E110" s="14" t="str">
        <x:v>2.2 حدود التمثيل ثنائي الأبعاد</x:v>
      </x:c>
    </x:row>
    <x:row r="111" ht="36" hidden="0" customHeight="1">
      <x:c r="A111" s="22" t="str">
        <x:v>P0099</x:v>
      </x:c>
      <x:c r="B111" s="16" t="str">
        <x:v>فقرة</x:v>
      </x:c>
      <x:c r="C111" s="16" t="str">
        <x:v>MAP-023</x:v>
      </x:c>
      <x:c r="D111" s="16" t="str">
        <x:v>chapters/chapter-02/index.html#section-2-2</x:v>
      </x:c>
      <x:c r="E111" s="17" t="str">
        <x:v>لا يُرفض الرسم على اللوح في هذا البحث؛ فهو وسيلة قوية للاختزال، وإبراز العلاقات، وبناء البرهان خطوة خطوة. المشكلة تظهر عندما يكون الرسم المسطح المصدر الوحيد لفهم كيان فراغي متحرك. فقد يوحي خط مائل بالعمق من دون أن يمنح الطالب خبرة العمق، وتُرسم الحافة الخلفية بخط متقطع من دون أن يراها الطالب فعلًا من الخلف، ويظل الدوران سلسلة صور يفسرها الطالب بدل أن ينفذها.</x:v>
      </x:c>
    </x:row>
    <x:row r="112" ht="24" hidden="0" customHeight="1">
      <x:c r="A112" s="21" t="str">
        <x:v>P0100</x:v>
      </x:c>
      <x:c r="B112" s="13" t="str">
        <x:v>فقرة</x:v>
      </x:c>
      <x:c r="C112" s="13" t="str">
        <x:v>MAP-023</x:v>
      </x:c>
      <x:c r="D112" s="13" t="str">
        <x:v>chapters/chapter-02/index.html#section-2-2</x:v>
      </x:c>
      <x:c r="E112" s="14" t="str">
        <x:v>من ثم، يُنظر إلى الواقع الافتراضي بوصفه مكمّلًا للسبورة والكتاب، لا بديلًا يلغي دور المعلم أو الرموز والرسوم. تبدأ الخبرة بالمحسوس التفاعلي، ثم يعود المعلم إلى الرسم واللغة والرمز ليجرد العلاقة ويعممها.</x:v>
      </x:c>
    </x:row>
    <x:row r="113" ht="15" hidden="0" customHeight="1">
      <x:c r="A113" s="22" t="str">
        <x:v>P0101</x:v>
      </x:c>
      <x:c r="B113" s="16" t="str">
        <x:v>فقرة</x:v>
      </x:c>
      <x:c r="C113" s="16" t="str">
        <x:v>MAP-024</x:v>
      </x:c>
      <x:c r="D113" s="16" t="str">
        <x:v>chapters/chapter-02/index.html#section-2-3</x:v>
      </x:c>
      <x:c r="E113" s="17" t="str">
        <x:v>2.3 مفهوم الواقع الافتراضي الغامر</x:v>
      </x:c>
    </x:row>
    <x:row r="114" ht="36" hidden="0" customHeight="1">
      <x:c r="A114" s="21" t="str">
        <x:v>P0102</x:v>
      </x:c>
      <x:c r="B114" s="13" t="str">
        <x:v>فقرة</x:v>
      </x:c>
      <x:c r="C114" s="13" t="str">
        <x:v>MAP-024</x:v>
      </x:c>
      <x:c r="D114" s="13" t="str">
        <x:v>chapters/chapter-02/index.html#section-2-3</x:v>
      </x:c>
      <x:c r="E114" s="14" t="str">
        <x:v>يميز الأدب بين درجات من الواقع الافتراضي؛ فالبيئة المكتبية تعرض عالمًا ثلاثي الأبعاد على شاشة، أما البيئة الغامرة فتستخدم شاشة مثبتة على الرأس وتتبع الحركة لتحديث المنظر وفق موضع المستخدم. يرتبط الغمر بخصائص النظام التقنية، بينما يشير الحضور إلى الاستجابة النفسية للشعور بالوجود داخل البيئة (Slater &amp; Wilbur, 1997).</x:v>
      </x:c>
    </x:row>
    <x:row r="115" ht="36" hidden="0" customHeight="1">
      <x:c r="A115" s="22" t="str">
        <x:v>P0103</x:v>
      </x:c>
      <x:c r="B115" s="16" t="str">
        <x:v>فقرة</x:v>
      </x:c>
      <x:c r="C115" s="16" t="str">
        <x:v>MAP-024</x:v>
      </x:c>
      <x:c r="D115" s="16" t="str">
        <x:v>chapters/chapter-02/index.html#section-2-3</x:v>
      </x:c>
      <x:c r="E115" s="17" t="str">
        <x:v>تتيح بنية OpenXR استهداف أكثر من جهاز عبر معيار مفتوح، بينما يوفر XR Interaction Toolkit مكونات جاهزة لأصل المستخدم XR Origin، والمتفاعلات المباشرة والشعاعية، والإمساك، والانتقال الآني، والدوران. وقد استُخدمت هذه البنية لتقليل الاعتماد على حل مغلق خاص بجهاز واحد، مع بقاء الاختبار الحالي على Meta Quest 3S (Unity Technologies, 2026a, 2026b).</x:v>
      </x:c>
    </x:row>
    <x:row r="116" ht="15" hidden="0" customHeight="1">
      <x:c r="A116" s="21" t="str">
        <x:v>P0104</x:v>
      </x:c>
      <x:c r="B116" s="13" t="str">
        <x:v>فقرة</x:v>
      </x:c>
      <x:c r="C116" s="13" t="str">
        <x:v>MAP-025</x:v>
      </x:c>
      <x:c r="D116" s="13" t="str">
        <x:v>chapters/chapter-02/index.html#section-2-4</x:v>
      </x:c>
      <x:c r="E116" s="14" t="str">
        <x:v>2.4 الأسس التربوية للتصميم</x:v>
      </x:c>
    </x:row>
    <x:row r="117" ht="15" hidden="0" customHeight="1">
      <x:c r="A117" s="22" t="str">
        <x:v>P0105</x:v>
      </x:c>
      <x:c r="B117" s="16" t="str">
        <x:v>فقرة</x:v>
      </x:c>
      <x:c r="C117" s="16" t="str">
        <x:v>MAP-026</x:v>
      </x:c>
      <x:c r="D117" s="16" t="str">
        <x:v>chapters/chapter-02/index.html#section-2-4-1</x:v>
      </x:c>
      <x:c r="E117" s="17" t="str">
        <x:v>2.4.1 البنائية والتعلم بالاكتشاف الموجّه</x:v>
      </x:c>
    </x:row>
    <x:row r="118" ht="24" hidden="0" customHeight="1">
      <x:c r="A118" s="21" t="str">
        <x:v>P0106</x:v>
      </x:c>
      <x:c r="B118" s="13" t="str">
        <x:v>فقرة</x:v>
      </x:c>
      <x:c r="C118" s="13" t="str">
        <x:v>MAP-026</x:v>
      </x:c>
      <x:c r="D118" s="13" t="str">
        <x:v>chapters/chapter-02/index.html#section-2-4-1</x:v>
      </x:c>
      <x:c r="E118" s="14" t="str">
        <x:v>يفترض المنظور البنائي أن المتعلم يبني معنى جديدًا عبر الربط بين خبرته السابقة والنشاط الحالي. لذلك لا يكتفي التطبيق بعرض تعريف المكعب، بل يسمح باستكشافه ثم يقدم التسمية والدليل. لكن الاكتشاف ليس حرًا تمامًا؛ إذ تنظمه بطاقات ومهمات قصيرة تمنع تحول البيئة إلى لعب غير مرتبط بهدف.</x:v>
      </x:c>
    </x:row>
    <x:row r="119" ht="15" hidden="0" customHeight="1">
      <x:c r="A119" s="22" t="str">
        <x:v>P0107</x:v>
      </x:c>
      <x:c r="B119" s="16" t="str">
        <x:v>فقرة</x:v>
      </x:c>
      <x:c r="C119" s="16" t="str">
        <x:v>MAP-027</x:v>
      </x:c>
      <x:c r="D119" s="16" t="str">
        <x:v>chapters/chapter-02/index.html#section-2-4-2</x:v>
      </x:c>
      <x:c r="E119" s="17" t="str">
        <x:v>2.4.2 التعلم بالتجربة</x:v>
      </x:c>
    </x:row>
    <x:row r="120" ht="24" hidden="0" customHeight="1">
      <x:c r="A120" s="21" t="str">
        <x:v>P0108</x:v>
      </x:c>
      <x:c r="B120" s="13" t="str">
        <x:v>فقرة</x:v>
      </x:c>
      <x:c r="C120" s="13" t="str">
        <x:v>MAP-027</x:v>
      </x:c>
      <x:c r="D120" s="13" t="str">
        <x:v>chapters/chapter-02/index.html#section-2-4-2</x:v>
      </x:c>
      <x:c r="E120" s="14" t="str">
        <x:v>يناسب الواقع الافتراضي دورة الخبرة والتأمل والتجريد والتجريب؛ فالطالب يمسك الجسم ويلاحظ أثر حركته، ثم يقرأ الوصف أو يناقش العلاقة، وبعد ذلك يعيد المحاولة. وقد استُلهم من منطق Kolb (1984) الربط بين الفعل والتأمل، من دون الادعاء بأن التطبيق يطبق نموذج Kolb كاملًا بكل مراحله.</x:v>
      </x:c>
    </x:row>
    <x:row r="121" ht="15" hidden="0" customHeight="1">
      <x:c r="A121" s="22" t="str">
        <x:v>P0109</x:v>
      </x:c>
      <x:c r="B121" s="16" t="str">
        <x:v>فقرة</x:v>
      </x:c>
      <x:c r="C121" s="16" t="str">
        <x:v>MAP-028</x:v>
      </x:c>
      <x:c r="D121" s="16" t="str">
        <x:v>chapters/chapter-02/index.html#section-2-4-3</x:v>
      </x:c>
      <x:c r="E121" s="17" t="str">
        <x:v>2.4.3 التعلم المتجسد</x:v>
      </x:c>
    </x:row>
    <x:row r="122" ht="36" hidden="0" customHeight="1">
      <x:c r="A122" s="21" t="str">
        <x:v>P0110</x:v>
      </x:c>
      <x:c r="B122" s="13" t="str">
        <x:v>فقرة</x:v>
      </x:c>
      <x:c r="C122" s="13" t="str">
        <x:v>MAP-028</x:v>
      </x:c>
      <x:c r="D122" s="13" t="str">
        <x:v>chapters/chapter-02/index.html#section-2-4-3</x:v>
      </x:c>
      <x:c r="E122" s="14" t="str">
        <x:v>يشير التعلم المتجسد إلى أن الحركة والإيماءة والتفاعل الحسي يمكن أن تشارك في بناء المعنى. في الواقع الافتراضي تكون درجة التجسد أعلى عندما تكون الحركة ذات صلة بالمفهوم لا مجرد نشاط عضلي. فإدارة اليد لتدوير جسم، أو التحرك حوله لرؤية سطح خلفي، تمثل الفكرة المكانية نفسها. وتقترح Johnson-Glenberg (2018) أن قيمة التجسد تزداد مع ملاءمة الحركة للمحتوى ودرجة الوكالة والاندماج الحسي.</x:v>
      </x:c>
    </x:row>
    <x:row r="123" ht="15" hidden="0" customHeight="1">
      <x:c r="A123" s="22" t="str">
        <x:v>P0111</x:v>
      </x:c>
      <x:c r="B123" s="16" t="str">
        <x:v>فقرة</x:v>
      </x:c>
      <x:c r="C123" s="16" t="str">
        <x:v>MAP-029</x:v>
      </x:c>
      <x:c r="D123" s="16" t="str">
        <x:v>chapters/chapter-02/index.html#section-2-4-4</x:v>
      </x:c>
      <x:c r="E123" s="17" t="str">
        <x:v>2.4.4 نظرية التعلم بالوسائط المتعددة</x:v>
      </x:c>
    </x:row>
    <x:row r="124" ht="24" hidden="0" customHeight="1">
      <x:c r="A124" s="21" t="str">
        <x:v>P0112</x:v>
      </x:c>
      <x:c r="B124" s="13" t="str">
        <x:v>فقرة</x:v>
      </x:c>
      <x:c r="C124" s="13" t="str">
        <x:v>MAP-029</x:v>
      </x:c>
      <x:c r="D124" s="13" t="str">
        <x:v>chapters/chapter-02/index.html#section-2-4-4</x:v>
      </x:c>
      <x:c r="E124" s="14" t="str">
        <x:v>تؤكد نظرية Mayer أن التعلم لا يتحسن بكثرة الوسائط تلقائيًا؛ بل بتنظيمها، وحذف غير الضروري، والإشارة إلى العناصر المهمة، وتقسيم المحتوى. لذلك استُخدمت ألوان محددة للوجه والحافة والرأس، ومفاتيح لإظهار الأدلة والتسميات أو إخفائها، وتسلسل لا يعرض كل الأزرار والمجسمات في اللحظة نفسها (Mayer, 2009).</x:v>
      </x:c>
    </x:row>
    <x:row r="125" ht="36" hidden="0" customHeight="1">
      <x:c r="A125" s="22" t="str">
        <x:v>P0113</x:v>
      </x:c>
      <x:c r="B125" s="16" t="str">
        <x:v>فقرة</x:v>
      </x:c>
      <x:c r="C125" s="16" t="str">
        <x:v>MAP-029</x:v>
      </x:c>
      <x:c r="D125" s="16" t="str">
        <x:v>chapters/chapter-02/index.html#section-2-4-4</x:v>
      </x:c>
      <x:c r="E125" s="17" t="str">
        <x:v>انطلاقًا من هذا المبدأ، أُضيفت قناة صوتية عربية لا لتكرار كل ما يظهر على اللوحة حرفيًا، بل لتوزيع الإرشاد بين السمع والبصر: يسمع الطالب فعلًا موجزًا أو تشجيعًا أو تنبيهًا إلى العنصر المهم، بينما تبقى التفاصيل والمصطلحات أمامه بصريًا. ويساعد هذا التكامل، إذا ضُبط توقيته وطوله ومستواه، على تقليل البحث داخل الواجهة وإبقاء النظر موجّهًا إلى المجسم، مع تجنب تداخل أكثر من مقطع أو ازدحام الشرح.</x:v>
      </x:c>
    </x:row>
    <x:row r="126" ht="15" hidden="0" customHeight="1">
      <x:c r="A126" s="21" t="str">
        <x:v>P0114</x:v>
      </x:c>
      <x:c r="B126" s="13" t="str">
        <x:v>فقرة</x:v>
      </x:c>
      <x:c r="C126" s="13" t="str">
        <x:v>MAP-030</x:v>
      </x:c>
      <x:c r="D126" s="13" t="str">
        <x:v>chapters/chapter-02/index.html#section-2-4-5</x:v>
      </x:c>
      <x:c r="E126" s="14" t="str">
        <x:v>2.4.5 العبء المعرفي والتدريب القبلي</x:v>
      </x:c>
    </x:row>
    <x:row r="127" ht="36" hidden="0" customHeight="1">
      <x:c r="A127" s="22" t="str">
        <x:v>P0115</x:v>
      </x:c>
      <x:c r="B127" s="16" t="str">
        <x:v>فقرة</x:v>
      </x:c>
      <x:c r="C127" s="16" t="str">
        <x:v>MAP-030</x:v>
      </x:c>
      <x:c r="D127" s="16" t="str">
        <x:v>chapters/chapter-02/index.html#section-2-4-5</x:v>
      </x:c>
      <x:c r="E127" s="17" t="str">
        <x:v>قد ترفع البيئة الغامرة الدافعية والحضور، لكنها قد تستهلك موارد معرفية في تعلم التحكم أو معالجة كثرة المثيرات. وقد وجدت دراسات أن الغمر لا يؤدي دائمًا إلى تعلم أعلى إذا صاحبته تفاصيل مشتتة أو عبء زائد (Parong &amp; Mayer, 2018). كما بحث Meyer وزملاؤه (2019) أثر التدريب القبلي في التعلم الغامر. لهذا جعل المشروع التدريب جزءًا صريحًا من البيئة قبل الدخول في المحتوى.</x:v>
      </x:c>
    </x:row>
    <x:row r="128" ht="15" hidden="0" customHeight="1">
      <x:c r="A128" s="21" t="str">
        <x:v>P0116</x:v>
      </x:c>
      <x:c r="B128" s="13" t="str">
        <x:v>فقرة</x:v>
      </x:c>
      <x:c r="C128" s="13" t="str">
        <x:v>MAP-031</x:v>
      </x:c>
      <x:c r="D128" s="13" t="str">
        <x:v>chapters/chapter-02/index.html#section-2-5</x:v>
      </x:c>
      <x:c r="E128" s="14" t="str">
        <x:v>2.5 مبادئ تصميم بيئة الواقع الافتراضي التعليمية</x:v>
      </x:c>
    </x:row>
    <x:row r="129" ht="15" hidden="0" customHeight="1">
      <x:c r="A129" s="22" t="str">
        <x:v>P0117</x:v>
      </x:c>
      <x:c r="B129" s="16" t="str">
        <x:v>فقرة</x:v>
      </x:c>
      <x:c r="C129" s="16" t="str">
        <x:v>MAP-031</x:v>
      </x:c>
      <x:c r="D129" s="16" t="str">
        <x:v>chapters/chapter-02/index.html#section-2-5</x:v>
      </x:c>
      <x:c r="E129" s="17" t="str">
        <x:v>الارتباط بالهدف: كل لون أو حركة أو زر يخدم مفهومًا أو إجراءً واضحًا.</x:v>
      </x:c>
    </x:row>
    <x:row r="130" ht="15" hidden="0" customHeight="1">
      <x:c r="A130" s="21" t="str">
        <x:v>P0118</x:v>
      </x:c>
      <x:c r="B130" s="13" t="str">
        <x:v>فقرة</x:v>
      </x:c>
      <x:c r="C130" s="13" t="str">
        <x:v>MAP-031</x:v>
      </x:c>
      <x:c r="D130" s="13" t="str">
        <x:v>chapters/chapter-02/index.html#section-2-5</x:v>
      </x:c>
      <x:c r="E130" s="14" t="str">
        <x:v>التدرج: تهيئة، ثم استكشاف المجسمات، ثم التحويلات، بدل كشف البيئة كاملة دفعة واحدة.</x:v>
      </x:c>
    </x:row>
    <x:row r="131" ht="15" hidden="0" customHeight="1">
      <x:c r="A131" s="22" t="str">
        <x:v>P0119</x:v>
      </x:c>
      <x:c r="B131" s="16" t="str">
        <x:v>فقرة</x:v>
      </x:c>
      <x:c r="C131" s="16" t="str">
        <x:v>MAP-031</x:v>
      </x:c>
      <x:c r="D131" s="16" t="str">
        <x:v>chapters/chapter-02/index.html#section-2-5</x:v>
      </x:c>
      <x:c r="E131" s="17" t="str">
        <x:v>التحكم المتعلم: يستطيع الطالب الإمساك والإعادة وإظهار الأدلة وإخفاءها والتحكم في الدوران.</x:v>
      </x:c>
    </x:row>
    <x:row r="132" ht="15" hidden="0" customHeight="1">
      <x:c r="A132" s="21" t="str">
        <x:v>P0120</x:v>
      </x:c>
      <x:c r="B132" s="13" t="str">
        <x:v>فقرة</x:v>
      </x:c>
      <x:c r="C132" s="13" t="str">
        <x:v>MAP-031</x:v>
      </x:c>
      <x:c r="D132" s="13" t="str">
        <x:v>chapters/chapter-02/index.html#section-2-5</x:v>
      </x:c>
      <x:c r="E132" s="14" t="str">
        <x:v>التغذية الراجعة الفورية: يظهر أثر الضغط أو الاختيار أو الإعادة فورًا وبصورة مرئية.</x:v>
      </x:c>
    </x:row>
    <x:row r="133" ht="15" hidden="0" customHeight="1">
      <x:c r="A133" s="22" t="str">
        <x:v>P0121</x:v>
      </x:c>
      <x:c r="B133" s="16" t="str">
        <x:v>فقرة</x:v>
      </x:c>
      <x:c r="C133" s="16" t="str">
        <x:v>MAP-031</x:v>
      </x:c>
      <x:c r="D133" s="16" t="str">
        <x:v>chapters/chapter-02/index.html#section-2-5</x:v>
      </x:c>
      <x:c r="E133" s="17" t="str">
        <x:v>الإرشاد الصوتي الهادف: تُقدَّم تعليمات وتشجيعات عربية قصيرة عند الحدث المناسب، مع تجنب التكرار والإطالة والتشغيل المتزامن الذي يشتت الانتباه.</x:v>
      </x:c>
    </x:row>
    <x:row r="134" ht="15" hidden="0" customHeight="1">
      <x:c r="A134" s="21" t="str">
        <x:v>P0122</x:v>
      </x:c>
      <x:c r="B134" s="13" t="str">
        <x:v>فقرة</x:v>
      </x:c>
      <x:c r="C134" s="13" t="str">
        <x:v>MAP-031</x:v>
      </x:c>
      <x:c r="D134" s="13" t="str">
        <x:v>chapters/chapter-02/index.html#section-2-5</x:v>
      </x:c>
      <x:c r="E134" s="14" t="str">
        <x:v>الاتساق المكاني: بقاء المتعلم في غرفة واحدة تتبدل مكوناتها يقلل إعادة التوجيه.</x:v>
      </x:c>
    </x:row>
    <x:row r="135" ht="15" hidden="0" customHeight="1">
      <x:c r="A135" s="22" t="str">
        <x:v>P0123</x:v>
      </x:c>
      <x:c r="B135" s="16" t="str">
        <x:v>فقرة</x:v>
      </x:c>
      <x:c r="C135" s="16" t="str">
        <x:v>MAP-031</x:v>
      </x:c>
      <x:c r="D135" s="16" t="str">
        <x:v>chapters/chapter-02/index.html#section-2-5</x:v>
      </x:c>
      <x:c r="E135" s="17" t="str">
        <x:v>الراحة: ارتفاع كاميرا مناسب، انتقال آني، دوران متقطع، جلسات قصيرة وإيقاف عند الانزعاج.</x:v>
      </x:c>
    </x:row>
    <x:row r="136" ht="15" hidden="0" customHeight="1">
      <x:c r="A136" s="21" t="str">
        <x:v>P0124</x:v>
      </x:c>
      <x:c r="B136" s="13" t="str">
        <x:v>فقرة</x:v>
      </x:c>
      <x:c r="C136" s="13" t="str">
        <x:v>MAP-031</x:v>
      </x:c>
      <x:c r="D136" s="13" t="str">
        <x:v>chapters/chapter-02/index.html#section-2-5</x:v>
      </x:c>
      <x:c r="E136" s="14" t="str">
        <x:v>إمكان الخطأ الآمن: لا يعاقب الطالب على سقوط جسم أو رميه؛ إذ يستطيع إعادته.</x:v>
      </x:c>
    </x:row>
    <x:row r="137" ht="15" hidden="0" customHeight="1">
      <x:c r="A137" s="22" t="str">
        <x:v>P0125</x:v>
      </x:c>
      <x:c r="B137" s="16" t="str">
        <x:v>فقرة</x:v>
      </x:c>
      <x:c r="C137" s="16" t="str">
        <x:v>MAP-031</x:v>
      </x:c>
      <x:c r="D137" s="16" t="str">
        <x:v>chapters/chapter-02/index.html#section-2-5</x:v>
      </x:c>
      <x:c r="E137" s="17" t="str">
        <x:v>الشفافية: تُعرض حالة الوظائف كما هي، ولا تُنسب نتائج تعليمية إلى اختبار تقني.</x:v>
      </x:c>
    </x:row>
    <x:row r="138" ht="15" hidden="0" customHeight="1">
      <x:c r="A138" s="21" t="str">
        <x:v>P0126</x:v>
      </x:c>
      <x:c r="B138" s="13" t="str">
        <x:v>فقرة</x:v>
      </x:c>
      <x:c r="C138" s="13" t="str">
        <x:v>MAP-032</x:v>
      </x:c>
      <x:c r="D138" s="13" t="str">
        <x:v>chapters/chapter-02/index.html#section-2-6</x:v>
      </x:c>
      <x:c r="E138" s="14" t="str">
        <x:v>2.6 مراجعة الدراسات السابقة</x:v>
      </x:c>
    </x:row>
    <x:row r="139" ht="15" hidden="0" customHeight="1">
      <x:c r="A139" s="22" t="str">
        <x:v>P0127</x:v>
      </x:c>
      <x:c r="B139" s="16" t="str">
        <x:v>فقرة</x:v>
      </x:c>
      <x:c r="C139" s="16" t="str">
        <x:v>MAP-033</x:v>
      </x:c>
      <x:c r="D139" s="16" t="str">
        <x:v>chapters/chapter-02/index.html#section-2-6-1</x:v>
      </x:c>
      <x:c r="E139" s="17" t="str">
        <x:v>2.6.1 دراسة Su وزملائه (2022)</x:v>
      </x:c>
    </x:row>
    <x:row r="140" ht="48" hidden="0" customHeight="1">
      <x:c r="A140" s="21" t="str">
        <x:v>P0128</x:v>
      </x:c>
      <x:c r="B140" s="13" t="str">
        <x:v>فقرة</x:v>
      </x:c>
      <x:c r="C140" s="13" t="str">
        <x:v>MAP-033</x:v>
      </x:c>
      <x:c r="D140" s="13" t="str">
        <x:v>chapters/chapter-02/index.html#section-2-6-1</x:v>
      </x:c>
      <x:c r="E140" s="14" t="str">
        <x:v>طور الباحثون نظامًا غامرًا لتعلم موضوعات في الهندسة الرياضية، واستخدموه مع 40 طالبًا ثانويًا في تايوان موزعين على مجموعتين خلال خمسة أسابيع. تناولت المهمات حجم الهرم، وحساب حجم المخروط، ومركز ثقل المثلث. وأبلغت الدراسة عن تحسن في الأداء والدافعية لدى المجموعة التي استخدمت النظام. تفيد هذه الدراسة في إثبات إمكان تحويل المفهوم المجرد إلى نشاط غامر، لكنها تختلف عن البحث الحالي الذي لا يقيس أثرًا، ويركز على تصميم التهيئة وخصائص المجسمات والتسلسل المدرسي.</x:v>
      </x:c>
    </x:row>
    <x:row r="141" ht="15" hidden="0" customHeight="1">
      <x:c r="A141" s="22" t="str">
        <x:v>P0129</x:v>
      </x:c>
      <x:c r="B141" s="16" t="str">
        <x:v>فقرة</x:v>
      </x:c>
      <x:c r="C141" s="16" t="str">
        <x:v>MAP-034</x:v>
      </x:c>
      <x:c r="D141" s="16" t="str">
        <x:v>chapters/chapter-02/index.html#section-2-6-2</x:v>
      </x:c>
      <x:c r="E141" s="17" t="str">
        <x:v>2.6.2 دراسة Rodríguez وRomero وCodina (2021)</x:v>
      </x:c>
    </x:row>
    <x:row r="142" ht="36" hidden="0" customHeight="1">
      <x:c r="A142" s="21" t="str">
        <x:v>P0130</x:v>
      </x:c>
      <x:c r="B142" s="13" t="str">
        <x:v>فقرة</x:v>
      </x:c>
      <x:c r="C142" s="13" t="str">
        <x:v>MAP-034</x:v>
      </x:c>
      <x:c r="D142" s="13" t="str">
        <x:v>chapters/chapter-02/index.html#section-2-6-2</x:v>
      </x:c>
      <x:c r="E142" s="14" t="str">
        <x:v>بحثت الدراسة استخدام NeoTrie VR في تعليم وتعلم الهندسة، وأبرزت إمكان إنشاء النقاط والخطوط والمستويات والمجسمات ومعالجتها داخل بيئة غامرة، مع إشارات إلى دعم التفكير الهندسي والإدراك المكاني والتعاون. NeoTrie أوسع من المنتج الحالي في الإنشاء الحر، بينما يستهدف المشروع الحالي المبتدئ بتسلسل موجّه يبدأ بتعلم النظارة ثم التعرف المنظم إلى خصائص المجسم.</x:v>
      </x:c>
    </x:row>
    <x:row r="143" ht="15" hidden="0" customHeight="1">
      <x:c r="A143" s="22" t="str">
        <x:v>P0131</x:v>
      </x:c>
      <x:c r="B143" s="16" t="str">
        <x:v>فقرة</x:v>
      </x:c>
      <x:c r="C143" s="16" t="str">
        <x:v>MAP-035</x:v>
      </x:c>
      <x:c r="D143" s="16" t="str">
        <x:v>chapters/chapter-02/index.html#section-2-6-3</x:v>
      </x:c>
      <x:c r="E143" s="17" t="str">
        <x:v>2.6.3 دراسة Domínguez Vázquez وDíaz Palencia (2024)</x:v>
      </x:c>
    </x:row>
    <x:row r="144" ht="36" hidden="0" customHeight="1">
      <x:c r="A144" s="21" t="str">
        <x:v>P0132</x:v>
      </x:c>
      <x:c r="B144" s="13" t="str">
        <x:v>فقرة</x:v>
      </x:c>
      <x:c r="C144" s="13" t="str">
        <x:v>MAP-035</x:v>
      </x:c>
      <x:c r="D144" s="13" t="str">
        <x:v>chapters/chapter-02/index.html#section-2-6-3</x:v>
      </x:c>
      <x:c r="E144" s="14" t="str">
        <x:v>وثقت الدراسة خبرة صفية لطلبة في سن 13-15 عامًا باستخدام Quest 2 وMozilla Hubs لتعلم الهندسة. قدّر الطلبة التفاعل وفهم المجسمات، وظهرت في الوقت نفسه صعوبات تقنية ودوار وحاجة إلى إرشاد وتدريب. تدعم هذه النتيجة قرار المشروع بإدراج التهيئة والراحة داخل التصميم. كما يبين توقف خدمة Mozilla Hubs أن الاعتماد على منصة عامة قد يعرض استدامة المحتوى للخطر.</x:v>
      </x:c>
    </x:row>
    <x:row r="145" ht="15" hidden="0" customHeight="1">
      <x:c r="A145" s="22" t="str">
        <x:v>P0133</x:v>
      </x:c>
      <x:c r="B145" s="16" t="str">
        <x:v>فقرة</x:v>
      </x:c>
      <x:c r="C145" s="16" t="str">
        <x:v>MAP-036</x:v>
      </x:c>
      <x:c r="D145" s="16" t="str">
        <x:v>chapters/chapter-02/index.html#section-2-6-4</x:v>
      </x:c>
      <x:c r="E145" s="17" t="str">
        <x:v>2.6.4 دراسة Alobaid وYoung وManzke (2025)</x:v>
      </x:c>
    </x:row>
    <x:row r="146" ht="36" hidden="0" customHeight="1">
      <x:c r="A146" s="21" t="str">
        <x:v>P0134</x:v>
      </x:c>
      <x:c r="B146" s="13" t="str">
        <x:v>فقرة</x:v>
      </x:c>
      <x:c r="C146" s="13" t="str">
        <x:v>MAP-036</x:v>
      </x:c>
      <x:c r="D146" s="13" t="str">
        <x:v>chapters/chapter-02/index.html#section-2-6-4</x:v>
      </x:c>
      <x:c r="E146" s="14" t="str">
        <x:v>طورت الدراسة بيئة باستخدام Unity وOpenXR لتعلم التحويلات الثلاثية الأبعاد في رسوم الحاسوب، وسمحت بتطبيق الانسحاب والدوران والتحجيم وربطها بأوامر OpenGL. شملت الدراسة الرئيسة 49 طالبًا جامعيًا وأظهرت تحسنًا في المهارات المكانية والفهم. وهي الأقرب تقنيًا إلى مختبر التحويلات المقترح، لكنها موجهة إلى طلبة الحاسوب في الجامعة وتربط المفاهيم بالبرمجة، بينما يهدف مشروعنا إلى بناء أساس مدرسي مبسط.</x:v>
      </x:c>
    </x:row>
    <x:row r="147" ht="15" hidden="0" customHeight="1">
      <x:c r="A147" s="22" t="str">
        <x:v>P0135</x:v>
      </x:c>
      <x:c r="B147" s="16" t="str">
        <x:v>فقرة</x:v>
      </x:c>
      <x:c r="C147" s="16" t="str">
        <x:v>MAP-037</x:v>
      </x:c>
      <x:c r="D147" s="16" t="str">
        <x:v>chapters/chapter-02/index.html#section-2-6-5</x:v>
      </x:c>
      <x:c r="E147" s="17" t="str">
        <x:v>2.6.5 مراجعة Abutayeh وزملائه (2022)</x:v>
      </x:c>
    </x:row>
    <x:row r="148" ht="36" hidden="0" customHeight="1">
      <x:c r="A148" s="21" t="str">
        <x:v>P0136</x:v>
      </x:c>
      <x:c r="B148" s="13" t="str">
        <x:v>فقرة</x:v>
      </x:c>
      <x:c r="C148" s="13" t="str">
        <x:v>MAP-037</x:v>
      </x:c>
      <x:c r="D148" s="13" t="str">
        <x:v>chapters/chapter-02/index.html#section-2-6-5</x:v>
      </x:c>
      <x:c r="E148" s="14" t="str">
        <x:v>راجعت الدراسة 33 بحثًا في الواقعين الافتراضي والمعزز في تعليم العلوم والرياضيات في البلدان العربية. ووجدت أن 20 دراسة استخدمت الاختبارات، و7 الاستبانة، وأن الاهتمام بالتصميم كان محدودًا، وأن الاستخدام الفعلي ظل تجارب صغيرة النطاق وفي عدد محدود من البلدان. تبرر هذه النتيجة الحاجة إلى توثيق بناء منتج عربي قابل للاستخدام، كما تبرر اختيار منهج تطويري بدل تكرار تجربة قصيرة على أداة غير ناضجة.</x:v>
      </x:c>
    </x:row>
    <x:row r="149" ht="15" hidden="0" customHeight="1">
      <x:c r="A149" s="22" t="str">
        <x:v>P0137</x:v>
      </x:c>
      <x:c r="B149" s="16" t="str">
        <x:v>فقرة</x:v>
      </x:c>
      <x:c r="C149" s="16" t="str">
        <x:v>MAP-038</x:v>
      </x:c>
      <x:c r="D149" s="16" t="str">
        <x:v>chapters/chapter-02/index.html#section-2-6-6</x:v>
      </x:c>
      <x:c r="E149" s="17" t="str">
        <x:v>2.6.6 المراجعات العامة</x:v>
      </x:c>
    </x:row>
    <x:row r="150" ht="36" hidden="0" customHeight="1">
      <x:c r="A150" s="21" t="str">
        <x:v>P0138</x:v>
      </x:c>
      <x:c r="B150" s="13" t="str">
        <x:v>فقرة</x:v>
      </x:c>
      <x:c r="C150" s="13" t="str">
        <x:v>MAP-038</x:v>
      </x:c>
      <x:c r="D150" s="13" t="str">
        <x:v>chapters/chapter-02/index.html#section-2-6-6</x:v>
      </x:c>
      <x:c r="E150" s="14" t="str">
        <x:v>خلصت مراجعة Radianti وزملائه (2020) إلى ازدياد تطبيقات الواقع الافتراضي الغامر في التعليم العالي، مع تفاوت واضح في التصميم النظري وطرائق التقويم. كما وجد Hamilton وزملاؤه (2021) أن معظم الدراسات راجعت مزايا للتعلم الغامر، لكن كثيرًا منها كان قصير المدة ولم يختبر الاحتفاظ طويل الأجل. وتدعم هذه النتائج موقفًا متوازنًا: الواقع الافتراضي فرصة تعليمية، لكنه يحتاج إلى تصميم دقيق وتقويم لا يكتفي بالإعجاب أو الحضور.</x:v>
      </x:c>
    </x:row>
    <x:row r="151" ht="15" hidden="0" customHeight="1">
      <x:c r="A151" s="22" t="str">
        <x:v>P0139</x:v>
      </x:c>
      <x:c r="B151" s="16" t="str">
        <x:v>فقرة</x:v>
      </x:c>
      <x:c r="C151" s="16" t="str">
        <x:v>MAP-038</x:v>
      </x:c>
      <x:c r="D151" s="16" t="str">
        <x:v>chapters/chapter-02/index.html#section-2-6-6</x:v>
      </x:c>
      <x:c r="E151" s="17" t="str">
        <x:v>جدول (2): مقارنة الدراسات السابقة الأقرب إلى المشروع</x:v>
      </x:c>
    </x:row>
    <x:row r="152" ht="84" hidden="0" customHeight="1">
      <x:c r="A152" s="21" t="str">
        <x:v>T008</x:v>
      </x:c>
      <x:c r="B152" s="13" t="str">
        <x:v>جدول</x:v>
      </x:c>
      <x:c r="C152" s="13" t="str">
        <x:v>MAP-038</x:v>
      </x:c>
      <x:c r="D152" s="13" t="str">
        <x:v>chapters/chapter-02/index.html#section-2-6-6</x:v>
      </x:c>
      <x:c r="E152" s="14" t="str">
        <x:v>الدراسة / السياق / المساهمة / الصلة والفارق
Su et al. (2022) / 40 طالبًا ثانويًا، 5 أسابيع / نظام VR لمهمات هندسية وقياس أداء ودافعية / يدعم قابلية VR للهندسة؛ مشروعنا تطويري ولا يقيس أثرًا.
Rodríguez et al. (2021) / NeoTrie VR في تعليم الهندسة / إنشاء ومعالجة هندسة ثلاثية الأبعاد / أداة مفتوحة واسعة؛ مشروعنا أكثر توجيهًا للمبتدئ.
Domínguez Vázquez &amp; Díaz Palencia (2024) / أعمار 13-15، Quest 2، Mozilla Hubs / خبرة صفية وملاحظات عن التفاعل والدوار / تدعم التهيئة والراحة والاستدامة.
Alobaid et al. (2025) / 49 طالب حاسوب جامعي / تحويلات 3D مع Unity/OpenXR وأوامر OpenGL / قريبة تقنيًا؛ تختلف في العمر والغاية البرمجية.
Abutayeh et al. (2022) / مراجعة 33 دراسة عربية / كشفت محدودية الاستخدام والتصميم واسع النطاق / تبرر منتجًا عربيًا موثقًا وقابلًا للإتاحة.</x:v>
      </x:c>
    </x:row>
    <x:row r="153" ht="15" hidden="0" customHeight="1">
      <x:c r="A153" s="22" t="str">
        <x:v>P0140</x:v>
      </x:c>
      <x:c r="B153" s="16" t="str">
        <x:v>فقرة</x:v>
      </x:c>
      <x:c r="C153" s="16" t="str">
        <x:v>MAP-038</x:v>
      </x:c>
      <x:c r="D153" s="16" t="str">
        <x:v>chapters/chapter-02/index.html#section-2-6-6</x:v>
      </x:c>
      <x:c r="E153" s="17" t="str"/>
    </x:row>
    <x:row r="154" ht="15" hidden="0" customHeight="1">
      <x:c r="A154" s="21" t="str">
        <x:v>P0141</x:v>
      </x:c>
      <x:c r="B154" s="13" t="str">
        <x:v>فقرة</x:v>
      </x:c>
      <x:c r="C154" s="13" t="str">
        <x:v>MAP-039</x:v>
      </x:c>
      <x:c r="D154" s="13" t="str">
        <x:v>chapters/chapter-02/index.html#section-2-7</x:v>
      </x:c>
      <x:c r="E154" s="14" t="str">
        <x:v>2.7 التطبيقات والمنصات المتاحة</x:v>
      </x:c>
    </x:row>
    <x:row r="155" ht="24" hidden="0" customHeight="1">
      <x:c r="A155" s="22" t="str">
        <x:v>P0142</x:v>
      </x:c>
      <x:c r="B155" s="16" t="str">
        <x:v>فقرة</x:v>
      </x:c>
      <x:c r="C155" s="16" t="str">
        <x:v>MAP-039</x:v>
      </x:c>
      <x:c r="D155" s="16" t="str">
        <x:v>chapters/chapter-02/index.html#section-2-7</x:v>
      </x:c>
      <x:c r="E155" s="17" t="str">
        <x:v>لم تُظهر المراجعة غياب تطبيقات الهندسة في الواقع الافتراضي، ولذلك لا يدعي البحث أن منتجه هو الأول. القيمة المضافة هي اجتماع التهيئة والتدرج المدرسي والمجسمات والتحويلات والإتاحة المجانية ضمن تجربة عربية قابلة للتخصيص.</x:v>
      </x:c>
    </x:row>
    <x:row r="156" ht="15" hidden="0" customHeight="1">
      <x:c r="A156" s="21" t="str">
        <x:v>P0143</x:v>
      </x:c>
      <x:c r="B156" s="13" t="str">
        <x:v>فقرة</x:v>
      </x:c>
      <x:c r="C156" s="13" t="str">
        <x:v>MAP-039</x:v>
      </x:c>
      <x:c r="D156" s="13" t="str">
        <x:v>chapters/chapter-02/index.html#section-2-7</x:v>
      </x:c>
      <x:c r="E156" s="14" t="str">
        <x:v>جدول (3): مقارنة التطبيقات والمنصات المتاحة حتى 28 تموز/يوليو 2026</x:v>
      </x:c>
    </x:row>
    <x:row r="157" ht="84" hidden="0" customHeight="1">
      <x:c r="A157" s="22" t="str">
        <x:v>T009</x:v>
      </x:c>
      <x:c r="B157" s="16" t="str">
        <x:v>جدول</x:v>
      </x:c>
      <x:c r="C157" s="16" t="str">
        <x:v>MAP-039</x:v>
      </x:c>
      <x:c r="D157" s="16" t="str">
        <x:v>chapters/chapter-02/index.html#section-2-7</x:v>
      </x:c>
      <x:c r="E157" s="17" t="str">
        <x:v>التطبيق / الإتاحة / التركيز / المقارنة مع المشروع
NeoTrie VR / متاح على Meta/Steam؛ السعر الظاهر على Steam 19.99 دولارًا / إنشاء ومعالجة هندسة ثلاثية الأبعاد وتعاون / أوسع في الإنشاء؛ أقل توجيهًا كتسلسل تأسيسي.
Construct3D / Meta Quest، Early Access / إنشاءات هندسية ديناميكية متقدمة / مناسب للثانوي المتقدم/الجامعة؛ لا يبدأ بتهيئة خصائص المجسم.
Calcflow / متاح عبر Steam ومنصات أخرى / متجهات وتفاضل وتكامل وتمثيلات متقدمة / مجال رياضي مختلف عن المجسمات الأساسية.
Delightex Edu / نموذج freemium وخطط تعليمية / منصة عامة لبناء عوالم 3D وبرمجتها / يتطلب من المعلم بناء المحتوى؛ ليس منهج هندسة جاهزًا.
المنتج الحالي / يُخطط لنشر النسخة التعليمية مجانًا / تهيئة ثم مجسمات ثم تحويلات للثانوي / توجيه مدرسي، لغة وسياق محليان، وحقوق المصدر محفوظة.</x:v>
      </x:c>
    </x:row>
    <x:row r="158" ht="15" hidden="0" customHeight="1">
      <x:c r="A158" s="21" t="str">
        <x:v>P0144</x:v>
      </x:c>
      <x:c r="B158" s="13" t="str">
        <x:v>فقرة</x:v>
      </x:c>
      <x:c r="C158" s="13" t="str">
        <x:v>MAP-039</x:v>
      </x:c>
      <x:c r="D158" s="13" t="str">
        <x:v>chapters/chapter-02/index.html#section-2-7</x:v>
      </x:c>
      <x:c r="E158" s="14" t="str"/>
    </x:row>
    <x:row r="159" ht="15" hidden="0" customHeight="1">
      <x:c r="A159" s="22" t="str">
        <x:v>P0145</x:v>
      </x:c>
      <x:c r="B159" s="16" t="str">
        <x:v>فقرة</x:v>
      </x:c>
      <x:c r="C159" s="16" t="str">
        <x:v>MAP-040</x:v>
      </x:c>
      <x:c r="D159" s="16" t="str">
        <x:v>chapters/chapter-02/index.html#section-2-8</x:v>
      </x:c>
      <x:c r="E159" s="17" t="str">
        <x:v>2.8 الفجوة التي يعالجها البحث</x:v>
      </x:c>
    </x:row>
    <x:row r="160" ht="36" hidden="0" customHeight="1">
      <x:c r="A160" s="21" t="str">
        <x:v>P0146</x:v>
      </x:c>
      <x:c r="B160" s="13" t="str">
        <x:v>فقرة</x:v>
      </x:c>
      <x:c r="C160" s="13" t="str">
        <x:v>MAP-040</x:v>
      </x:c>
      <x:c r="D160" s="13" t="str">
        <x:v>chapters/chapter-02/index.html#section-2-8</x:v>
      </x:c>
      <x:c r="E160" s="14" t="str">
        <x:v>الفجوة ليست انعدام تطبيقات الهندسة، بل ندرة الجمع بين عناصر مترابطة: فئة ثانوية محددة، وتهيئة مدمجة داخل التطبيق، وانتقال من المحسوس إلى المفهوم، وغرفة تعلم مترابطة، وإرشاد صوتي عربي مرتبط بالأحداث، وإتاحة مجانية أساسية. وتزداد الفجوة في السياق العربي حين يحتاج المعلم إلى لغة ومحتوى وتسلسل يمكن مواءمته مع المنهاج المحلي بدل الاعتماد على أداة عامة أو تجربة بحثية غير متاحة.</x:v>
      </x:c>
    </x:row>
    <x:row r="161" ht="15" hidden="0" customHeight="1">
      <x:c r="A161" s="22" t="str">
        <x:v>P0147</x:v>
      </x:c>
      <x:c r="B161" s="16" t="str">
        <x:v>فقرة</x:v>
      </x:c>
      <x:c r="C161" s="16" t="str">
        <x:v>MAP-041</x:v>
      </x:c>
      <x:c r="D161" s="16" t="str">
        <x:v>chapters/chapter-02/index.html#section-2-9</x:v>
      </x:c>
      <x:c r="E161" s="17" t="str">
        <x:v>2.9 النموذج المفاهيمي للتصميم</x:v>
      </x:c>
    </x:row>
    <x:row r="162" ht="24" hidden="0" customHeight="1">
      <x:c r="A162" s="21" t="str">
        <x:v>P0148</x:v>
      </x:c>
      <x:c r="B162" s="13" t="str">
        <x:v>فقرة</x:v>
      </x:c>
      <x:c r="C162" s="13" t="str">
        <x:v>MAP-041</x:v>
      </x:c>
      <x:c r="D162" s="13" t="str">
        <x:v>chapters/chapter-02/index.html#section-2-9</x:v>
      </x:c>
      <x:c r="E162" s="14" t="str">
        <x:v>يقترح البحث سلسلة سببية تصميمية لا تُفهم بوصفها نتيجة تجريبية: تمثيل فراغي غامر + تفاعل مباشر + تهيئة وتوجيه مرئي وصوتي بالعربية + تغذية راجعة وإعادة آمنة ← فرص أفضل لبناء نموذج ذهني للمجسم والتحويل. وتبقى العلاقة الأخيرة افتراضًا تربويًا مدعومًا بالأدبيات يحتاج إلى اختبار لاحق مع المتعلمين.</x:v>
      </x:c>
    </x:row>
    <x:row r="163" ht="15" hidden="0" customHeight="1">
      <x:c r="A163" s="22" t="str">
        <x:v>P0149</x:v>
      </x:c>
      <x:c r="B163" s="16" t="str">
        <x:v>فقرة</x:v>
      </x:c>
      <x:c r="C163" s="16" t="str">
        <x:v>MAP-041</x:v>
      </x:c>
      <x:c r="D163" s="16" t="str">
        <x:v>chapters/chapter-02/index.html#section-2-9</x:v>
      </x:c>
      <x:c r="E163" s="17" t="str"/>
    </x:row>
    <x:row r="164" ht="15" hidden="0" customHeight="1">
      <x:c r="A164" s="21" t="str">
        <x:v>P0150</x:v>
      </x:c>
      <x:c r="B164" s="13" t="str">
        <x:v>فقرة</x:v>
      </x:c>
      <x:c r="C164" s="13" t="str">
        <x:v>MAP-042</x:v>
      </x:c>
      <x:c r="D164" s="13" t="str">
        <x:v>chapters/chapter-03/index.html</x:v>
      </x:c>
      <x:c r="E164" s="14" t="str">
        <x:v>الفصل الثالث: منهجية البحث وإجراءات التصميم والتطوير</x:v>
      </x:c>
    </x:row>
    <x:row r="165" ht="15" hidden="0" customHeight="1">
      <x:c r="A165" s="22" t="str">
        <x:v>P0151</x:v>
      </x:c>
      <x:c r="B165" s="16" t="str">
        <x:v>فقرة</x:v>
      </x:c>
      <x:c r="C165" s="16" t="str">
        <x:v>MAP-043</x:v>
      </x:c>
      <x:c r="D165" s="16" t="str">
        <x:v>chapters/chapter-03/index.html#section-3-1</x:v>
      </x:c>
      <x:c r="E165" s="17" t="str">
        <x:v>3.1 منهج البحث</x:v>
      </x:c>
    </x:row>
    <x:row r="166" ht="36" hidden="0" customHeight="1">
      <x:c r="A166" s="21" t="str">
        <x:v>P0152</x:v>
      </x:c>
      <x:c r="B166" s="13" t="str">
        <x:v>فقرة</x:v>
      </x:c>
      <x:c r="C166" s="13" t="str">
        <x:v>MAP-043</x:v>
      </x:c>
      <x:c r="D166" s="13" t="str">
        <x:v>chapters/chapter-03/index.html#section-3-1</x:v>
      </x:c>
      <x:c r="E166" s="14" t="str">
        <x:v>اعتمد البحث منهج التصميم والتطوير من النوع الأول، الذي يركز على منتج محدد وعمليات بنائه وتقويمه، بدل اختبار نظرية عامة أو قياس أثر تدخل على مجتمع بشري. يتفق ذلك مع تمييز Richey وKlein (2007) بين البحث في المنتجات والنماذج وبين البحث الذي يعمم مبادئ التطوير. واستفاد العمل من بنية ADDIE: التحليل، والتصميم، والتطوير، والتنفيذ التقني، والتقويم؛ لكنه طبقها تكراريًا لا خطيًا، إذ أعادت مشكلات التشغيل تشكيل قرارات التصميم.</x:v>
      </x:c>
    </x:row>
    <x:row r="167" ht="15" hidden="0" customHeight="1">
      <x:c r="A167" s="22" t="str">
        <x:v>P0153</x:v>
      </x:c>
      <x:c r="B167" s="16" t="str">
        <x:v>فقرة</x:v>
      </x:c>
      <x:c r="C167" s="16" t="str">
        <x:v>MAP-044</x:v>
      </x:c>
      <x:c r="D167" s="16" t="str">
        <x:v>chapters/chapter-03/index.html#section-3-2</x:v>
      </x:c>
      <x:c r="E167" s="17" t="str">
        <x:v>3.2 لماذا لم تُستخدم عينة أو استبانة؟</x:v>
      </x:c>
    </x:row>
    <x:row r="168" ht="24" hidden="0" customHeight="1">
      <x:c r="A168" s="21" t="str">
        <x:v>T010</x:v>
      </x:c>
      <x:c r="B168" s="13" t="str">
        <x:v>جدول</x:v>
      </x:c>
      <x:c r="C168" s="13" t="str">
        <x:v>MAP-044</x:v>
      </x:c>
      <x:c r="D168" s="13" t="str">
        <x:v>chapters/chapter-03/index.html#section-3-2</x:v>
      </x:c>
      <x:c r="E168" s="14" t="str">
        <x:v>القرار المنهجي: لم يكن هدف الدراسة في مرحلتها الحالية تقدير اتجاهات الطلبة أو مقارنة تحصيل مجموعتين، بل إنتاج تطبيق بمواصفات تربوية حديثة والتحقق من الوظائف التي بُنيت. لذلك لا يوجد مجتمع أو عينة أو استبانة أو فرضيات إحصائية أو متغير مستقل وتابع.</x:v>
      </x:c>
    </x:row>
    <x:row r="169" ht="15" hidden="0" customHeight="1">
      <x:c r="A169" s="22" t="str">
        <x:v>P0154</x:v>
      </x:c>
      <x:c r="B169" s="16" t="str">
        <x:v>فقرة</x:v>
      </x:c>
      <x:c r="C169" s="16" t="str">
        <x:v>MAP-044</x:v>
      </x:c>
      <x:c r="D169" s="16" t="str">
        <x:v>chapters/chapter-03/index.html#section-3-2</x:v>
      </x:c>
      <x:c r="E169" s="17" t="str"/>
    </x:row>
    <x:row r="170" ht="36" hidden="0" customHeight="1">
      <x:c r="A170" s="21" t="str">
        <x:v>P0155</x:v>
      </x:c>
      <x:c r="B170" s="13" t="str">
        <x:v>فقرة</x:v>
      </x:c>
      <x:c r="C170" s="13" t="str">
        <x:v>MAP-044</x:v>
      </x:c>
      <x:c r="D170" s="13" t="str">
        <x:v>chapters/chapter-03/index.html#section-3-2</x:v>
      </x:c>
      <x:c r="E170" s="14" t="str">
        <x:v>إضافة عينة شكلية أو استبانة قصيرة إلى منتج غير مكتمل لن تجعل البحث أقوى؛ بل قد تنتج أحكامًا عن الجدة أو سهولة الاستخدام بدل التعلم، وتخلط تقويم المنتج بقياس أثره. ستصبح العينة ضرورية في دراسة تالية عندما يثبت النموذج وظيفيًا، ويُحدد سيناريو تدريس موحد، وتُعد أدوات قياس صادقة، وتُستكمل الموافقات الأخلاقية.</x:v>
      </x:c>
    </x:row>
    <x:row r="171" ht="15" hidden="0" customHeight="1">
      <x:c r="A171" s="22" t="str">
        <x:v>P0156</x:v>
      </x:c>
      <x:c r="B171" s="16" t="str">
        <x:v>فقرة</x:v>
      </x:c>
      <x:c r="C171" s="16" t="str">
        <x:v>MAP-045</x:v>
      </x:c>
      <x:c r="D171" s="16" t="str">
        <x:v>chapters/chapter-03/index.html#section-3-3</x:v>
      </x:c>
      <x:c r="E171" s="17" t="str">
        <x:v>3.3 وحدة البحث ومصادر الأدلة</x:v>
      </x:c>
    </x:row>
    <x:row r="172" ht="36" hidden="0" customHeight="1">
      <x:c r="A172" s="21" t="str">
        <x:v>P0157</x:v>
      </x:c>
      <x:c r="B172" s="13" t="str">
        <x:v>فقرة</x:v>
      </x:c>
      <x:c r="C172" s="13" t="str">
        <x:v>MAP-045</x:v>
      </x:c>
      <x:c r="D172" s="13" t="str">
        <x:v>chapters/chapter-03/index.html#section-3-3</x:v>
      </x:c>
      <x:c r="E172" s="14" t="str">
        <x:v>وحدة البحث هي بيئة الواقع الافتراضي التعليمية بمشاهدها ومكوناتها وتفاعلاتها وقراراتها التصميمية. وجُمعت الأدلة من: سجل تطور المشروع، ولقطات Unity والنظارة، وأسماء المشاهد والكائنات والسكربتات، واختبارات التشغيل المباشرة، ورسائل Console، والمقارنة بين السلوك المتوقع والفعلي، ومراجعة الأدبيات والمنتجات.</x:v>
      </x:c>
    </x:row>
    <x:row r="173" ht="15" hidden="0" customHeight="1">
      <x:c r="A173" s="22" t="str">
        <x:v>P0158</x:v>
      </x:c>
      <x:c r="B173" s="16" t="str">
        <x:v>فقرة</x:v>
      </x:c>
      <x:c r="C173" s="16" t="str">
        <x:v>MAP-046</x:v>
      </x:c>
      <x:c r="D173" s="16" t="str">
        <x:v>chapters/chapter-03/index.html#section-3-4</x:v>
      </x:c>
      <x:c r="E173" s="17" t="str">
        <x:v>3.4 أدوات البحث التطويري</x:v>
      </x:c>
    </x:row>
    <x:row r="174" ht="15" hidden="0" customHeight="1">
      <x:c r="A174" s="21" t="str">
        <x:v>P0159</x:v>
      </x:c>
      <x:c r="B174" s="13" t="str">
        <x:v>فقرة</x:v>
      </x:c>
      <x:c r="C174" s="13" t="str">
        <x:v>MAP-046</x:v>
      </x:c>
      <x:c r="D174" s="13" t="str">
        <x:v>chapters/chapter-03/index.html#section-3-4</x:v>
      </x:c>
      <x:c r="E174" s="14" t="str">
        <x:v>قائمة المتطلبات التربوية: تربط المشكلة الصفية بالوظيفة المقترحة.</x:v>
      </x:c>
    </x:row>
    <x:row r="175" ht="15" hidden="0" customHeight="1">
      <x:c r="A175" s="22" t="str">
        <x:v>P0160</x:v>
      </x:c>
      <x:c r="B175" s="16" t="str">
        <x:v>فقرة</x:v>
      </x:c>
      <x:c r="C175" s="16" t="str">
        <x:v>MAP-046</x:v>
      </x:c>
      <x:c r="D175" s="16" t="str">
        <x:v>chapters/chapter-03/index.html#section-3-4</x:v>
      </x:c>
      <x:c r="E175" s="17" t="str">
        <x:v>مصفوفة تتبع المتطلبات: تربط كل مطلب بمشهد أو كائن أو سكربت وبحالة التحقق.</x:v>
      </x:c>
    </x:row>
    <x:row r="176" ht="15" hidden="0" customHeight="1">
      <x:c r="A176" s="21" t="str">
        <x:v>P0161</x:v>
      </x:c>
      <x:c r="B176" s="13" t="str">
        <x:v>فقرة</x:v>
      </x:c>
      <x:c r="C176" s="13" t="str">
        <x:v>MAP-046</x:v>
      </x:c>
      <x:c r="D176" s="13" t="str">
        <x:v>chapters/chapter-03/index.html#section-3-4</x:v>
      </x:c>
      <x:c r="E176" s="14" t="str">
        <x:v>سجل التطوير والمشكلات: يوثق الخطأ أو العائق، والتشخيص، والتعديل، والنتيجة.</x:v>
      </x:c>
    </x:row>
    <x:row r="177" ht="15" hidden="0" customHeight="1">
      <x:c r="A177" s="22" t="str">
        <x:v>P0162</x:v>
      </x:c>
      <x:c r="B177" s="16" t="str">
        <x:v>فقرة</x:v>
      </x:c>
      <x:c r="C177" s="16" t="str">
        <x:v>MAP-046</x:v>
      </x:c>
      <x:c r="D177" s="16" t="str">
        <x:v>chapters/chapter-03/index.html#section-3-4</x:v>
      </x:c>
      <x:c r="E177" s="17" t="str">
        <x:v>قائمة التحقق الوظيفي: تشغيل الوظيفة وملاحظة النتيجة الفعلية بصورة متكررة.</x:v>
      </x:c>
    </x:row>
    <x:row r="178" ht="15" hidden="0" customHeight="1">
      <x:c r="A178" s="21" t="str">
        <x:v>P0163</x:v>
      </x:c>
      <x:c r="B178" s="13" t="str">
        <x:v>فقرة</x:v>
      </x:c>
      <x:c r="C178" s="13" t="str">
        <x:v>MAP-046</x:v>
      </x:c>
      <x:c r="D178" s="13" t="str">
        <x:v>chapters/chapter-03/index.html#section-3-4</x:v>
      </x:c>
      <x:c r="E178" s="14" t="str">
        <x:v>جدول سيناريو الصوت: يربط كل حدث تعليمي باسم الملف الصوتي العربي، وهدفه، وشرط تشغيله، والخطوة التي تليه، بما يسمح بمراجعة الاتساق والتزامن.</x:v>
      </x:c>
    </x:row>
    <x:row r="179" ht="15" hidden="0" customHeight="1">
      <x:c r="A179" s="22" t="str">
        <x:v>P0164</x:v>
      </x:c>
      <x:c r="B179" s="16" t="str">
        <x:v>فقرة</x:v>
      </x:c>
      <x:c r="C179" s="16" t="str">
        <x:v>MAP-046</x:v>
      </x:c>
      <x:c r="D179" s="16" t="str">
        <x:v>chapters/chapter-03/index.html#section-3-4</x:v>
      </x:c>
      <x:c r="E179" s="17" t="str">
        <x:v>التوثيق البصري: صور لواجهة Unity وتشغيل التطبيق داخل النظارة.</x:v>
      </x:c>
    </x:row>
    <x:row r="180" ht="15" hidden="0" customHeight="1">
      <x:c r="A180" s="21" t="str">
        <x:v>P0165</x:v>
      </x:c>
      <x:c r="B180" s="13" t="str">
        <x:v>فقرة</x:v>
      </x:c>
      <x:c r="C180" s="13" t="str">
        <x:v>MAP-046</x:v>
      </x:c>
      <x:c r="D180" s="13" t="str">
        <x:v>chapters/chapter-03/index.html#section-3-4</x:v>
      </x:c>
      <x:c r="E180" s="14" t="str">
        <x:v>مصفوفة مقارنة الأدبيات والتطبيقات: لتحديد الفجوة ومنع الادعاءات غير الدقيقة.</x:v>
      </x:c>
    </x:row>
    <x:row r="181" ht="15" hidden="0" customHeight="1">
      <x:c r="A181" s="22" t="str">
        <x:v>P0166</x:v>
      </x:c>
      <x:c r="B181" s="16" t="str">
        <x:v>فقرة</x:v>
      </x:c>
      <x:c r="C181" s="16" t="str">
        <x:v>MAP-047</x:v>
      </x:c>
      <x:c r="D181" s="16" t="str">
        <x:v>chapters/chapter-03/index.html#section-3-5</x:v>
      </x:c>
      <x:c r="E181" s="17" t="str">
        <x:v>3.5 الصدق والثبات في البحث الحالي</x:v>
      </x:c>
    </x:row>
    <x:row r="182" ht="36" hidden="0" customHeight="1">
      <x:c r="A182" s="21" t="str">
        <x:v>P0167</x:v>
      </x:c>
      <x:c r="B182" s="13" t="str">
        <x:v>فقرة</x:v>
      </x:c>
      <x:c r="C182" s="13" t="str">
        <x:v>MAP-047</x:v>
      </x:c>
      <x:c r="D182" s="13" t="str">
        <x:v>chapters/chapter-03/index.html#section-3-5</x:v>
      </x:c>
      <x:c r="E182" s="14" t="str">
        <x:v>لا تنطبق معاملات صدق الاستبانة أو ألفا كرونباخ، لعدم وجود أداة سيكومترية. عولجت جودة الأدلة عبر صدق التتبع: لا تُعد الوظيفة متحققة إلا إذا ارتبطت بمتطلب محدد وأمكن تشغيلها وملاحظة ناتجها. كما استُخدمت المراجعة المتقاطعة بين Inspector والسلوك داخل Play Mode والنظارة، وتكرار الاختبار بعد التعديل. أما الثبات فيُفهم هنا بوصفه قابلية تكرار الاختبار والحصول على السلوك المتوقع تحت الإعداد نفسه.</x:v>
      </x:c>
    </x:row>
    <x:row r="183" ht="24" hidden="0" customHeight="1">
      <x:c r="A183" s="22" t="str">
        <x:v>P0168</x:v>
      </x:c>
      <x:c r="B183" s="16" t="str">
        <x:v>فقرة</x:v>
      </x:c>
      <x:c r="C183" s="16" t="str">
        <x:v>MAP-047</x:v>
      </x:c>
      <x:c r="D183" s="16" t="str">
        <x:v>chapters/chapter-03/index.html#section-3-5</x:v>
      </x:c>
      <x:c r="E183" s="17" t="str">
        <x:v>تظل هذه الإجراءات تحققًا هندسيًا/تصميميًا داخليًا وليست تقويمًا مستقلًا من خبراء أو مستخدمين. ولذلك يوصي البحث في مرحلته التالية بمراجعة خبراء في تعليم الرياضيات وتجربة قابلية استخدام خاضعة لإجراءات أخلاقية.</x:v>
      </x:c>
    </x:row>
    <x:row r="184" ht="15" hidden="0" customHeight="1">
      <x:c r="A184" s="21" t="str">
        <x:v>P0169</x:v>
      </x:c>
      <x:c r="B184" s="13" t="str">
        <x:v>فقرة</x:v>
      </x:c>
      <x:c r="C184" s="13" t="str">
        <x:v>MAP-048</x:v>
      </x:c>
      <x:c r="D184" s="13" t="str">
        <x:v>chapters/chapter-03/index.html#section-3-6</x:v>
      </x:c>
      <x:c r="E184" s="14" t="str">
        <x:v>3.6 مراحل التصميم والتطوير</x:v>
      </x:c>
    </x:row>
    <x:row r="185" ht="15" hidden="0" customHeight="1">
      <x:c r="A185" s="22" t="str">
        <x:v>P0170</x:v>
      </x:c>
      <x:c r="B185" s="16" t="str">
        <x:v>فقرة</x:v>
      </x:c>
      <x:c r="C185" s="16" t="str">
        <x:v>MAP-049</x:v>
      </x:c>
      <x:c r="D185" s="16" t="str">
        <x:v>chapters/chapter-03/index.html#section-3-6-1</x:v>
      </x:c>
      <x:c r="E185" s="17" t="str">
        <x:v>3.6.1 تحليل الحاجة</x:v>
      </x:c>
    </x:row>
    <x:row r="186" ht="24" hidden="0" customHeight="1">
      <x:c r="A186" s="21" t="str">
        <x:v>P0171</x:v>
      </x:c>
      <x:c r="B186" s="13" t="str">
        <x:v>فقرة</x:v>
      </x:c>
      <x:c r="C186" s="13" t="str">
        <x:v>MAP-049</x:v>
      </x:c>
      <x:c r="D186" s="13" t="str">
        <x:v>chapters/chapter-03/index.html#section-3-6-1</x:v>
      </x:c>
      <x:c r="E186" s="14" t="str">
        <x:v>بدأت الحاجة من خبرة تدريس الهندسة الفراغية بالرسم على اللوح، وملاحظة أن الطالب مطالب بتخيل أجزاء وحركات لا تظهر في الرسم. صيغت المشكلة أولًا بوصفها حاجة إلى عرض ثلاثي الأبعاد، ثم تطورت إلى حاجة إلى تفاعل مباشر وتدرج تربوي.</x:v>
      </x:c>
    </x:row>
    <x:row r="187" ht="15" hidden="0" customHeight="1">
      <x:c r="A187" s="22" t="str">
        <x:v>P0172</x:v>
      </x:c>
      <x:c r="B187" s="16" t="str">
        <x:v>فقرة</x:v>
      </x:c>
      <x:c r="C187" s="16" t="str">
        <x:v>MAP-050</x:v>
      </x:c>
      <x:c r="D187" s="16" t="str">
        <x:v>chapters/chapter-03/index.html#section-3-6-2</x:v>
      </x:c>
      <x:c r="E187" s="17" t="str">
        <x:v>3.6.2 المرحلة الأولى: Fusion 360 والعرض بزاوية 360 درجة</x:v>
      </x:c>
    </x:row>
    <x:row r="188" ht="24" hidden="0" customHeight="1">
      <x:c r="A188" s="21" t="str">
        <x:v>P0173</x:v>
      </x:c>
      <x:c r="B188" s="13" t="str">
        <x:v>فقرة</x:v>
      </x:c>
      <x:c r="C188" s="13" t="str">
        <x:v>MAP-050</x:v>
      </x:c>
      <x:c r="D188" s="13" t="str">
        <x:v>chapters/chapter-03/index.html#section-3-6-2</x:v>
      </x:c>
      <x:c r="E188" s="14" t="str">
        <x:v>استخدم الباحث Fusion 360 لبناء أو عرض نماذج هندسية، واستفاد من إمكان مشاهدة الجسم بزاوية 360 درجة. حققت هذه المرحلة وضوحًا بصريًا أفضل من صورة ثابتة، لكنها أبقت الطالب مشاهدًا؛ فلم يستطع الإمساك بالجسم أو تنفيذ مهمة أو تلقي تغذية راجعة أو إعادة بناء المشهد.</x:v>
      </x:c>
    </x:row>
    <x:row r="189" ht="15" hidden="0" customHeight="1">
      <x:c r="A189" s="22" t="str">
        <x:v>P0174</x:v>
      </x:c>
      <x:c r="B189" s="16" t="str">
        <x:v>فقرة</x:v>
      </x:c>
      <x:c r="C189" s="16" t="str">
        <x:v>MAP-051</x:v>
      </x:c>
      <x:c r="D189" s="16" t="str">
        <x:v>chapters/chapter-03/index.html#section-3-6-3</x:v>
      </x:c>
      <x:c r="E189" s="17" t="str">
        <x:v>3.6.3 محاولات Blender وGeometry Nodes</x:v>
      </x:c>
    </x:row>
    <x:row r="190" ht="24" hidden="0" customHeight="1">
      <x:c r="A190" s="21" t="str">
        <x:v>P0175</x:v>
      </x:c>
      <x:c r="B190" s="13" t="str">
        <x:v>فقرة</x:v>
      </x:c>
      <x:c r="C190" s="13" t="str">
        <x:v>MAP-051</x:v>
      </x:c>
      <x:c r="D190" s="13" t="str">
        <x:v>chapters/chapter-03/index.html#section-3-6-3</x:v>
      </x:c>
      <x:c r="E190" s="14" t="str">
        <x:v>استُكشفت Blender وGeometry Nodes لإنشاء نماذج وحركات هندسية. أسهمت المرحلة في فهم بناء المجسم والتحريك، لكنها أظهرت أن إنتاج فيديو أو حركة محددة مسبقًا لا يساوي بيئة تعليمية يتصرف فيها الطالب بحرية مضبوطة.</x:v>
      </x:c>
    </x:row>
    <x:row r="191" ht="15" hidden="0" customHeight="1">
      <x:c r="A191" s="22" t="str">
        <x:v>P0176</x:v>
      </x:c>
      <x:c r="B191" s="16" t="str">
        <x:v>فقرة</x:v>
      </x:c>
      <x:c r="C191" s="16" t="str">
        <x:v>MAP-052</x:v>
      </x:c>
      <x:c r="D191" s="16" t="str">
        <x:v>chapters/chapter-03/index.html#section-3-6-4</x:v>
      </x:c>
      <x:c r="E191" s="17" t="str">
        <x:v>3.6.4 الانتقال إلى Unity</x:v>
      </x:c>
    </x:row>
    <x:row r="192" ht="24" hidden="0" customHeight="1">
      <x:c r="A192" s="21" t="str">
        <x:v>P0177</x:v>
      </x:c>
      <x:c r="B192" s="13" t="str">
        <x:v>فقرة</x:v>
      </x:c>
      <x:c r="C192" s="13" t="str">
        <x:v>MAP-052</x:v>
      </x:c>
      <x:c r="D192" s="13" t="str">
        <x:v>chapters/chapter-03/index.html#section-3-6-4</x:v>
      </x:c>
      <x:c r="E192" s="14" t="str">
        <x:v>اختير Unity لأنه يجمع بناء المشهد، والفيزياء، والواجهات، والسكربتات، ودعم XR. بدأت محاولات أولى على Unity 2022.3 LTS مع VR Template وMeta Quest 2، ثم استقر المشروع الحالي على Unity 6.4 (6000.4.1f1) واستخدام OpenXR وXR Interaction Toolkit.</x:v>
      </x:c>
    </x:row>
    <x:row r="193" ht="15" hidden="0" customHeight="1">
      <x:c r="A193" s="22" t="str">
        <x:v>P0178</x:v>
      </x:c>
      <x:c r="B193" s="16" t="str">
        <x:v>فقرة</x:v>
      </x:c>
      <x:c r="C193" s="16" t="str">
        <x:v>MAP-053</x:v>
      </x:c>
      <x:c r="D193" s="16" t="str">
        <x:v>chapters/chapter-03/index.html#section-3-6-5</x:v>
      </x:c>
      <x:c r="E193" s="17" t="str">
        <x:v>3.6.5 تطور العتاد</x:v>
      </x:c>
    </x:row>
    <x:row r="194" ht="36" hidden="0" customHeight="1">
      <x:c r="A194" s="21" t="str">
        <x:v>P0179</x:v>
      </x:c>
      <x:c r="B194" s="13" t="str">
        <x:v>فقرة</x:v>
      </x:c>
      <x:c r="C194" s="13" t="str">
        <x:v>MAP-053</x:v>
      </x:c>
      <x:c r="D194" s="13" t="str">
        <x:v>chapters/chapter-03/index.html#section-3-6-5</x:v>
      </x:c>
      <x:c r="E194" s="14" t="str">
        <x:v>كشف الحاسوب الأقدم Dell بمعالج Intel Core i7-8550U وبطاقة NVIDIA GeForce 940MX 4GB حدودًا في تشغيل بيئة التطوير والواقع الافتراضي بسلاسة. انتقل الباحث إلى Predator Neo 16 مع NVIDIA GeForce RTX 5070 Ti Laptop GPU، وضُبط نمط الرسوم لاستخدام البطاقة المنفصلة عند الحاجة. كما انتقل الاختبار من Meta Quest 2 إلى Meta Quest 3S.</x:v>
      </x:c>
    </x:row>
    <x:row r="195" ht="15" hidden="0" customHeight="1">
      <x:c r="A195" s="22" t="str">
        <x:v>P0180</x:v>
      </x:c>
      <x:c r="B195" s="16" t="str">
        <x:v>فقرة</x:v>
      </x:c>
      <x:c r="C195" s="16" t="str">
        <x:v>MAP-053</x:v>
      </x:c>
      <x:c r="D195" s="16" t="str">
        <x:v>chapters/chapter-03/index.html#section-3-6-5</x:v>
      </x:c>
      <x:c r="E195" s="17" t="str">
        <x:v>جدول (4): مراحل تطور المشروع والقرار التربوي/التقني الناتج</x:v>
      </x:c>
    </x:row>
    <x:row r="196" ht="72" hidden="0" customHeight="1">
      <x:c r="A196" s="21" t="str">
        <x:v>T011</x:v>
      </x:c>
      <x:c r="B196" s="13" t="str">
        <x:v>جدول</x:v>
      </x:c>
      <x:c r="C196" s="13" t="str">
        <x:v>MAP-053</x:v>
      </x:c>
      <x:c r="D196" s="13" t="str">
        <x:v>chapters/chapter-03/index.html#section-3-6-5</x:v>
      </x:c>
      <x:c r="E196" s="14" t="str">
        <x:v>المرحلة / ما تحقق / القيد المكتشف / القرار الناتج
Fusion 360 / نموذج 3D ومشاهدة 360° / مشاهدة بلا تفاعل أو مهمة / الانتقال إلى محرك تفاعلي.
Blender/Geometry Nodes / نمذجة وحركة / الحركة معدة مسبقًا والتكامل التعليمي معقد / اعتماد Unity مركزًا للتطبيق.
Unity 2022 + Quest 2 / بداية XR وAPK / تغير الحزم والأجهزة ومشكلات اتصال / اعتماد OpenXR وبنية قابلة للتحديث.
الحاسوب القديم / تجارب أولية / قدرة رسوم محدودة / استخدام Predator Neo 16 وRTX 5070 Ti.
Unity 6.4 + Quest 3S / نموذج وظيفي للتهيئة والمجسمات / حاجة إلى إكمال التحويلات والتحسين / تثبيت نطاق البحث الحالي وخطة لاحقة.</x:v>
      </x:c>
    </x:row>
    <x:row r="197" ht="15" hidden="0" customHeight="1">
      <x:c r="A197" s="22" t="str">
        <x:v>P0181</x:v>
      </x:c>
      <x:c r="B197" s="16" t="str">
        <x:v>فقرة</x:v>
      </x:c>
      <x:c r="C197" s="16" t="str">
        <x:v>MAP-053</x:v>
      </x:c>
      <x:c r="D197" s="16" t="str">
        <x:v>chapters/chapter-03/index.html#section-3-6-5</x:v>
      </x:c>
      <x:c r="E197" s="17" t="str"/>
    </x:row>
    <x:row r="198" ht="15" hidden="0" customHeight="1">
      <x:c r="A198" s="21" t="str">
        <x:v>P0182</x:v>
      </x:c>
      <x:c r="B198" s="13" t="str">
        <x:v>فقرة</x:v>
      </x:c>
      <x:c r="C198" s="13" t="str">
        <x:v>MAP-054</x:v>
      </x:c>
      <x:c r="D198" s="13" t="str">
        <x:v>chapters/chapter-03/index.html#section-3-7</x:v>
      </x:c>
      <x:c r="E198" s="14" t="str">
        <x:v>3.7 البيئة التقنية</x:v>
      </x:c>
    </x:row>
    <x:row r="199" ht="15" hidden="0" customHeight="1">
      <x:c r="A199" s="22" t="str">
        <x:v>P0183</x:v>
      </x:c>
      <x:c r="B199" s="16" t="str">
        <x:v>فقرة</x:v>
      </x:c>
      <x:c r="C199" s="16" t="str">
        <x:v>MAP-054</x:v>
      </x:c>
      <x:c r="D199" s="16" t="str">
        <x:v>chapters/chapter-03/index.html#section-3-7</x:v>
      </x:c>
      <x:c r="E199" s="17" t="str">
        <x:v>محرك التطوير: Unity 6.4، الإصدار 6000.4.1f1.</x:v>
      </x:c>
    </x:row>
    <x:row r="200" ht="15" hidden="0" customHeight="1">
      <x:c r="A200" s="21" t="str">
        <x:v>P0184</x:v>
      </x:c>
      <x:c r="B200" s="13" t="str">
        <x:v>فقرة</x:v>
      </x:c>
      <x:c r="C200" s="13" t="str">
        <x:v>MAP-054</x:v>
      </x:c>
      <x:c r="D200" s="13" t="str">
        <x:v>chapters/chapter-03/index.html#section-3-7</x:v>
      </x:c>
      <x:c r="E200" s="14" t="str">
        <x:v>المعيار: OpenXR لتقليل الارتباط بمزود واحد.</x:v>
      </x:c>
    </x:row>
    <x:row r="201" ht="15" hidden="0" customHeight="1">
      <x:c r="A201" s="22" t="str">
        <x:v>P0185</x:v>
      </x:c>
      <x:c r="B201" s="16" t="str">
        <x:v>فقرة</x:v>
      </x:c>
      <x:c r="C201" s="16" t="str">
        <x:v>MAP-054</x:v>
      </x:c>
      <x:c r="D201" s="16" t="str">
        <x:v>chapters/chapter-03/index.html#section-3-7</x:v>
      </x:c>
      <x:c r="E201" s="17" t="str">
        <x:v>التفاعل: XR Interaction Toolkit، متفاعلات مباشرة وشعاعية، XR Grab Interactable، واجهات UI.</x:v>
      </x:c>
    </x:row>
    <x:row r="202" ht="15" hidden="0" customHeight="1">
      <x:c r="A202" s="21" t="str">
        <x:v>P0186</x:v>
      </x:c>
      <x:c r="B202" s="13" t="str">
        <x:v>فقرة</x:v>
      </x:c>
      <x:c r="C202" s="13" t="str">
        <x:v>MAP-054</x:v>
      </x:c>
      <x:c r="D202" s="13" t="str">
        <x:v>chapters/chapter-03/index.html#section-3-7</x:v>
      </x:c>
      <x:c r="E202" s="14" t="str">
        <x:v>الإدخال: Input System وإجراءات وحدات التحكم.</x:v>
      </x:c>
    </x:row>
    <x:row r="203" ht="15" hidden="0" customHeight="1">
      <x:c r="A203" s="22" t="str">
        <x:v>P0187</x:v>
      </x:c>
      <x:c r="B203" s="16" t="str">
        <x:v>فقرة</x:v>
      </x:c>
      <x:c r="C203" s="16" t="str">
        <x:v>MAP-054</x:v>
      </x:c>
      <x:c r="D203" s="16" t="str">
        <x:v>chapters/chapter-03/index.html#section-3-7</x:v>
      </x:c>
      <x:c r="E203" s="17" t="str">
        <x:v>العرض: مشروع ثلاثي الأبعاد يدعم Android/Meta Quest.</x:v>
      </x:c>
    </x:row>
    <x:row r="204" ht="15" hidden="0" customHeight="1">
      <x:c r="A204" s="21" t="str">
        <x:v>P0188</x:v>
      </x:c>
      <x:c r="B204" s="13" t="str">
        <x:v>فقرة</x:v>
      </x:c>
      <x:c r="C204" s="13" t="str">
        <x:v>MAP-054</x:v>
      </x:c>
      <x:c r="D204" s="13" t="str">
        <x:v>chapters/chapter-03/index.html#section-3-7</x:v>
      </x:c>
      <x:c r="E204" s="14" t="str">
        <x:v>العتاد المستخدم في الاختبار الحالي: Meta Quest 3S.</x:v>
      </x:c>
    </x:row>
    <x:row r="205" ht="15" hidden="0" customHeight="1">
      <x:c r="A205" s="22" t="str">
        <x:v>P0189</x:v>
      </x:c>
      <x:c r="B205" s="16" t="str">
        <x:v>فقرة</x:v>
      </x:c>
      <x:c r="C205" s="16" t="str">
        <x:v>MAP-054</x:v>
      </x:c>
      <x:c r="D205" s="16" t="str">
        <x:v>chapters/chapter-03/index.html#section-3-7</x:v>
      </x:c>
      <x:c r="E205" s="17" t="str">
        <x:v>لغات ومكونات: C#، TextMeshPro، Rigidbody، Colliders، Materials.</x:v>
      </x:c>
    </x:row>
    <x:row r="206" ht="15" hidden="0" customHeight="1">
      <x:c r="A206" s="21" t="str">
        <x:v>P0190</x:v>
      </x:c>
      <x:c r="B206" s="13" t="str">
        <x:v>فقرة</x:v>
      </x:c>
      <x:c r="C206" s="13" t="str">
        <x:v>MAP-054</x:v>
      </x:c>
      <x:c r="D206" s="13" t="str">
        <x:v>chapters/chapter-03/index.html#section-3-7</x:v>
      </x:c>
      <x:c r="E206" s="14" t="str">
        <x:v>الصوت: ملفات عربية بصيغة MP3، ومصادر صوت داخل Unity مرتبطة بأحداث المشهد لتقديم التعليمات والتشجيع وإشارات التقدم.</x:v>
      </x:c>
    </x:row>
    <x:row r="207" ht="15" hidden="0" customHeight="1">
      <x:c r="A207" s="22" t="str">
        <x:v>P0191</x:v>
      </x:c>
      <x:c r="B207" s="16" t="str">
        <x:v>فقرة</x:v>
      </x:c>
      <x:c r="C207" s="16" t="str">
        <x:v>MAP-055</x:v>
      </x:c>
      <x:c r="D207" s="16" t="str">
        <x:v>chapters/chapter-03/index.html#section-3-8</x:v>
      </x:c>
      <x:c r="E207" s="17" t="str">
        <x:v>3.8 بنية المشاهد والمكونات</x:v>
      </x:c>
    </x:row>
    <x:row r="208" ht="24" hidden="0" customHeight="1">
      <x:c r="A208" s="21" t="str">
        <x:v>P0192</x:v>
      </x:c>
      <x:c r="B208" s="13" t="str">
        <x:v>فقرة</x:v>
      </x:c>
      <x:c r="C208" s="13" t="str">
        <x:v>MAP-055</x:v>
      </x:c>
      <x:c r="D208" s="13" t="str">
        <x:v>chapters/chapter-03/index.html#section-3-8</x:v>
      </x:c>
      <x:c r="E208" s="14" t="str">
        <x:v>استقر التصميم التربوي على غرفة تعلم واحدة مترابطة تتبدل فيها اللوحات والمجسمات بحسب المرحلة. وتُستخدم أسماء المشاهد أيضًا بوصفها وحدات منطقية في بنية المشروع. يضم النطاق الحالي:</x:v>
      </x:c>
    </x:row>
    <x:row r="209" ht="15" hidden="0" customHeight="1">
      <x:c r="A209" s="22" t="str">
        <x:v>P0193</x:v>
      </x:c>
      <x:c r="B209" s="16" t="str">
        <x:v>فقرة</x:v>
      </x:c>
      <x:c r="C209" s="16" t="str">
        <x:v>MAP-055</x:v>
      </x:c>
      <x:c r="D209" s="16" t="str">
        <x:v>chapters/chapter-03/index.html#section-3-8</x:v>
      </x:c>
      <x:c r="E209" s="17" t="str">
        <x:v>00_Boot: التهيئة العامة، وسياق الجلسة، ومراقبة الأداء، والتحكم في تدفق المشاهد.</x:v>
      </x:c>
    </x:row>
    <x:row r="210" ht="15" hidden="0" customHeight="1">
      <x:c r="A210" s="21" t="str">
        <x:v>P0194</x:v>
      </x:c>
      <x:c r="B210" s="13" t="str">
        <x:v>فقرة</x:v>
      </x:c>
      <x:c r="C210" s="13" t="str">
        <x:v>MAP-055</x:v>
      </x:c>
      <x:c r="D210" s="13" t="str">
        <x:v>chapters/chapter-03/index.html#section-3-8</x:v>
      </x:c>
      <x:c r="E210" s="14" t="str">
        <x:v>10_VR_LearningHub: التهيئة الحرة والموجهة لاستخدام النظارة والحركة والإمساك وإعادة الأجسام.</x:v>
      </x:c>
    </x:row>
    <x:row r="211" ht="15" hidden="0" customHeight="1">
      <x:c r="A211" s="22" t="str">
        <x:v>P0195</x:v>
      </x:c>
      <x:c r="B211" s="16" t="str">
        <x:v>فقرة</x:v>
      </x:c>
      <x:c r="C211" s="16" t="str">
        <x:v>MAP-055</x:v>
      </x:c>
      <x:c r="D211" s="16" t="str">
        <x:v>chapters/chapter-03/index.html#section-3-8</x:v>
      </x:c>
      <x:c r="E211" s="17" t="str">
        <x:v>11_Solids_Lab: اختيار المكعب والكرة والأسطوانة، وعرض المعلومات والأدلة والتسميات والتحكم، مع إرشاد صوتي عربي مرتبط بأحداث التعلم.</x:v>
      </x:c>
    </x:row>
    <x:row r="212" ht="15" hidden="0" customHeight="1">
      <x:c r="A212" s="21" t="str">
        <x:v>P0196</x:v>
      </x:c>
      <x:c r="B212" s="13" t="str">
        <x:v>فقرة</x:v>
      </x:c>
      <x:c r="C212" s="13" t="str">
        <x:v>MAP-055</x:v>
      </x:c>
      <x:c r="D212" s="13" t="str">
        <x:v>chapters/chapter-03/index.html#section-3-8</x:v>
      </x:c>
      <x:c r="E212" s="14" t="str">
        <x:v>12_Transforms_Lab: تصميم تربوي للانسحاب والدوران والتكبير والتصغير؛ قيد التطوير في النسخة الحالية.</x:v>
      </x:c>
    </x:row>
    <x:row r="213" ht="15" hidden="0" customHeight="1">
      <x:c r="A213" s="22" t="str">
        <x:v>P0197</x:v>
      </x:c>
      <x:c r="B213" s="16" t="str">
        <x:v>فقرة</x:v>
      </x:c>
      <x:c r="C213" s="16" t="str">
        <x:v>MAP-055</x:v>
      </x:c>
      <x:c r="D213" s="16" t="str">
        <x:v>chapters/chapter-03/index.html#section-3-8</x:v>
      </x:c>
      <x:c r="E213" s="17" t="str">
        <x:v>جدول (5): مكونات برمجية وتربوية موثقة في المشروع</x:v>
      </x:c>
    </x:row>
    <x:row r="214" ht="120" hidden="0" customHeight="1">
      <x:c r="A214" s="21" t="str">
        <x:v>T012</x:v>
      </x:c>
      <x:c r="B214" s="13" t="str">
        <x:v>جدول</x:v>
      </x:c>
      <x:c r="C214" s="13" t="str">
        <x:v>MAP-055</x:v>
      </x:c>
      <x:c r="D214" s="13" t="str">
        <x:v>chapters/chapter-03/index.html#section-3-8</x:v>
      </x:c>
      <x:c r="E214" s="14" t="str">
        <x:v>المكون / الوظيفة
AppBootstrap / SceneFlowController / SessionContext / إقلاع التطبيق وإدارة السياق والانتقال.
DeviceInfoCapture / PerformanceMonitor / توثيق الجهاز والأداء لدعم الفحص والتحسين.
LearningPanelFlowController / StepManager / تنظيم بطاقات التهيئة وتسلسل المهمات.
PracticeObjectsResetter / إعادة المكعب والكرة والأسطوانة إلى نقاط البداية.
SolidSelectionController / SolidInfoController / اختيار المجسم وتحديث اسمه وخصائصه ووصفه.
SolidAutoRotateController / تشغيل الدوران التلقائي والتحكم في السرعة.
TGL_GuidesVisible / TGL_LabelsVisible / إظهار الأدلة البصرية والتسميات أو إخفاؤها.
BTN_Continue / BTN_ResetObjects / BTN_EnterSolidsLab / الاستمرار والإعادة والانتقال إلى محتوى المجسمات.
ملفات MP3 عربية / مصادر الصوت المرتبطة بالأحداث / تقديم تعليمات موجزة، وتحفيز الطالب، وإعلان الإنجاز والانتقال بين خطوات المشهد.</x:v>
      </x:c>
    </x:row>
    <x:row r="215" ht="15" hidden="0" customHeight="1">
      <x:c r="A215" s="22" t="str">
        <x:v>P0198</x:v>
      </x:c>
      <x:c r="B215" s="16" t="str">
        <x:v>فقرة</x:v>
      </x:c>
      <x:c r="C215" s="16" t="str">
        <x:v>MAP-055</x:v>
      </x:c>
      <x:c r="D215" s="16" t="str">
        <x:v>chapters/chapter-03/index.html#section-3-8</x:v>
      </x:c>
      <x:c r="E215" s="17" t="str"/>
    </x:row>
    <x:row r="216" ht="15" hidden="0" customHeight="1">
      <x:c r="A216" s="21" t="str">
        <x:v>P0199</x:v>
      </x:c>
      <x:c r="B216" s="13" t="str">
        <x:v>فقرة</x:v>
      </x:c>
      <x:c r="C216" s="13" t="str">
        <x:v>MAP-056</x:v>
      </x:c>
      <x:c r="D216" s="13" t="str">
        <x:v>chapters/chapter-03/index.html#section-3-9</x:v>
      </x:c>
      <x:c r="E216" s="14" t="str">
        <x:v>3.9 التصميم التربوي للمراحل</x:v>
      </x:c>
    </x:row>
    <x:row r="217" ht="15" hidden="0" customHeight="1">
      <x:c r="A217" s="22" t="str">
        <x:v>P0200</x:v>
      </x:c>
      <x:c r="B217" s="16" t="str">
        <x:v>فقرة</x:v>
      </x:c>
      <x:c r="C217" s="16" t="str">
        <x:v>MAP-057</x:v>
      </x:c>
      <x:c r="D217" s="16" t="str">
        <x:v>chapters/chapter-03/index.html#section-3-9-1</x:v>
      </x:c>
      <x:c r="E217" s="17" t="str">
        <x:v>3.9.1 مرحلة التهيئة</x:v>
      </x:c>
    </x:row>
    <x:row r="218" ht="48" hidden="0" customHeight="1">
      <x:c r="A218" s="21" t="str">
        <x:v>P0201</x:v>
      </x:c>
      <x:c r="B218" s="13" t="str">
        <x:v>فقرة</x:v>
      </x:c>
      <x:c r="C218" s="13" t="str">
        <x:v>MAP-057</x:v>
      </x:c>
      <x:c r="D218" s="13" t="str">
        <x:v>chapters/chapter-03/index.html#section-3-9-1</x:v>
      </x:c>
      <x:c r="E218" s="14" t="str">
        <x:v>يدخل الطالب إلى المختبر ولا يبدأ باختبار معرفي أو تعريفات. يُترك أولًا فترة قصيرة لينظر حوله ويتعرف إلى ارتفاعه الافتراضي ومكان اليدين والأزرار، ثم يجرب التقاط مجسمات موزعة في الغرفة ونقلها وتقريبها وإبعادها ورميها والحركة داخل المكان. ولا يُقصد بهذه الحرية أن تتحول البيئة إلى لعبة مستقلة عن الدرس؛ فهي تهيئة محدودة تزيل رهبة التقنية وتكسب الطالب مهارات التحكم. بعد ذلك تبدأ المهمات الموجهة، وتظهر بطاقات Continue وReset Objects، وترافقها توجيهات صوتية عربية قصيرة تحدد المطلوب وتشجع المحاولة وتعلن الجاهزية للانتقال.</x:v>
      </x:c>
    </x:row>
    <x:row r="219" ht="15" hidden="0" customHeight="1">
      <x:c r="A219" s="22" t="str">
        <x:v>P0202</x:v>
      </x:c>
      <x:c r="B219" s="16" t="str">
        <x:v>فقرة</x:v>
      </x:c>
      <x:c r="C219" s="16" t="str">
        <x:v>MAP-058</x:v>
      </x:c>
      <x:c r="D219" s="16" t="str">
        <x:v>chapters/chapter-03/index.html#section-3-9-2</x:v>
      </x:c>
      <x:c r="E219" s="17" t="str">
        <x:v>3.9.2 مختبر المجسمات</x:v>
      </x:c>
    </x:row>
    <x:row r="220" ht="48" hidden="0" customHeight="1">
      <x:c r="A220" s="21" t="str">
        <x:v>P0203</x:v>
      </x:c>
      <x:c r="B220" s="13" t="str">
        <x:v>فقرة</x:v>
      </x:c>
      <x:c r="C220" s="13" t="str">
        <x:v>MAP-058</x:v>
      </x:c>
      <x:c r="D220" s="13" t="str">
        <x:v>chapters/chapter-03/index.html#section-3-9-2</x:v>
      </x:c>
      <x:c r="E220" s="14" t="str">
        <x:v>تختفي عناصر اللعب الحر أو تُعاد إلى حالتها، وتظهر لوحة المجسمات. يختار الطالب Cube أو Sphere أو Cylinder. تُعرض معلومات الاسم والأسطح والحواف والرؤوس والوصف بحسب طبيعة الجسم، ويمكن تشغيل التسميات والأدلة البصرية. صُممت مواد صفراء وسماوية لإبراز خطوط إرشادية على الكرة والأسطوانة، وتسميات ملوّنة للوجه والحافة والرأس على المكعب. ويعمل الصوت العربي هنا بوصفه رفيق تعلم داخل المشهد: يسمّي المرحلة، ويوجّه النظر أو الفعل، ويطرح تعليمات موجزة، ويعزز الإنجاز، ثم يقود الطالب إلى الحدث التالي وفق التسلسل التربوي.</x:v>
      </x:c>
    </x:row>
    <x:row r="221" ht="15" hidden="0" customHeight="1">
      <x:c r="A221" s="22" t="str">
        <x:v>P0204</x:v>
      </x:c>
      <x:c r="B221" s="16" t="str">
        <x:v>فقرة</x:v>
      </x:c>
      <x:c r="C221" s="16" t="str">
        <x:v>MAP-059</x:v>
      </x:c>
      <x:c r="D221" s="16" t="str">
        <x:v>chapters/chapter-03/index.html#section-3-9-3</x:v>
      </x:c>
      <x:c r="E221" s="17" t="str">
        <x:v>3.9.3 مختبر التحويلات</x:v>
      </x:c>
    </x:row>
    <x:row r="222" ht="36" hidden="0" customHeight="1">
      <x:c r="A222" s="21" t="str">
        <x:v>P0205</x:v>
      </x:c>
      <x:c r="B222" s="13" t="str">
        <x:v>فقرة</x:v>
      </x:c>
      <x:c r="C222" s="13" t="str">
        <x:v>MAP-059</x:v>
      </x:c>
      <x:c r="D222" s="13" t="str">
        <x:v>chapters/chapter-03/index.html#section-3-9-3</x:v>
      </x:c>
      <x:c r="E222" s="14" t="str">
        <x:v>تنتقل التجربة - بعد اكتمالها - إلى مساحة داخل الغرفة نفسها تعرض الجسم الأصلي وصورته بعد التحويل، والمحاور والقيم المستخدمة. يبدأ المتعلم بالانسحاب لأنه يغير الموضع دون الاتجاه أو الحجم، ثم الدوران، ثم التكبير والتصغير. ويُفصل كل تحويل في مهمة قصيرة مع Reset وUndo/إعادة الحالة وتغذية راجعة. لم تكتمل هذه المرحلة برمجيًا عند إغلاق النسخة الحالية من البحث.</x:v>
      </x:c>
    </x:row>
    <x:row r="223" ht="15" hidden="0" customHeight="1">
      <x:c r="A223" s="22" t="str">
        <x:v>P0206</x:v>
      </x:c>
      <x:c r="B223" s="16" t="str">
        <x:v>فقرة</x:v>
      </x:c>
      <x:c r="C223" s="16" t="str">
        <x:v>MAP-060</x:v>
      </x:c>
      <x:c r="D223" s="16" t="str">
        <x:v>chapters/chapter-03/index.html#section-3-9-4</x:v>
      </x:c>
      <x:c r="E223" s="17" t="str">
        <x:v>3.9.4 الوظيفة التربوية للإرشاد الصوتي العربي</x:v>
      </x:c>
    </x:row>
    <x:row r="224" ht="36" hidden="0" customHeight="1">
      <x:c r="A224" s="21" t="str">
        <x:v>P0207</x:v>
      </x:c>
      <x:c r="B224" s="13" t="str">
        <x:v>فقرة</x:v>
      </x:c>
      <x:c r="C224" s="13" t="str">
        <x:v>MAP-060</x:v>
      </x:c>
      <x:c r="D224" s="13" t="str">
        <x:v>chapters/chapter-03/index.html#section-3-9-4</x:v>
      </x:c>
      <x:c r="E224" s="14" t="str">
        <x:v>صُمم الصوت العربي بوصفه طبقة توجيه ومتابعة داخلية، لا خلفية ترفيهية. ترتبط المقاطع بأحداث محددة: بداية المرحلة، عرض المطلوب، نجاح المهمة، الحاجة إلى إعادة المحاولة، والاستعداد للانتقال. وبهذا يؤدي الصوت وظائف معرفية وتنظيمية ووجدانية؛ فهو يحدد موضع الانتباه، وينظم تسلسل الأفعال، ويعزز الثقة والاستمرار، ويساعد الطالب على العمل بدرجة أكبر من الاستقلال من دون أن يحل محل المعلم.</x:v>
      </x:c>
    </x:row>
    <x:row r="225" ht="36" hidden="0" customHeight="1">
      <x:c r="A225" s="22" t="str">
        <x:v>P0208</x:v>
      </x:c>
      <x:c r="B225" s="16" t="str">
        <x:v>فقرة</x:v>
      </x:c>
      <x:c r="C225" s="16" t="str">
        <x:v>MAP-060</x:v>
      </x:c>
      <x:c r="D225" s="16" t="str">
        <x:v>chapters/chapter-03/index.html#section-3-9-4</x:v>
      </x:c>
      <x:c r="E225" s="17" t="str">
        <x:v>اعتمدت الصياغة الصوتية العربية على القِصر والوضوح واستخدام فعل مباشر واحد في كل توجيه قدر الإمكان. كما روعي ألا يبدأ مقطع جديد قبل انتهاء السابق، وألا يكرر الصوت نص الشاشة كاملًا، وألا يمنح الإجابة قبل الاستكشاف. فالغاية هي إبقاء التفاعل الحر خادمًا للتعلم: يجرّب الطالب، ثم يتلقى توجيهًا في لحظة الحاجة، ثم يلاحظ ويجيب وينتقل إلى هدف هندسي محدد.</x:v>
      </x:c>
    </x:row>
    <x:row r="226" ht="15" hidden="0" customHeight="1">
      <x:c r="A226" s="21" t="str">
        <x:v>P0209</x:v>
      </x:c>
      <x:c r="B226" s="13" t="str">
        <x:v>فقرة</x:v>
      </x:c>
      <x:c r="C226" s="13" t="str">
        <x:v>MAP-061</x:v>
      </x:c>
      <x:c r="D226" s="13" t="str">
        <x:v>chapters/chapter-03/index.html#section-3-10</x:v>
      </x:c>
      <x:c r="E226" s="14" t="str">
        <x:v>3.10 الاختبارات التقنية</x:v>
      </x:c>
    </x:row>
    <x:row r="227" ht="15" hidden="0" customHeight="1">
      <x:c r="A227" s="22" t="str">
        <x:v>P0210</x:v>
      </x:c>
      <x:c r="B227" s="16" t="str">
        <x:v>فقرة</x:v>
      </x:c>
      <x:c r="C227" s="16" t="str">
        <x:v>MAP-061</x:v>
      </x:c>
      <x:c r="D227" s="16" t="str">
        <x:v>chapters/chapter-03/index.html#section-3-10</x:v>
      </x:c>
      <x:c r="E227" s="17" t="str">
        <x:v>اتصال النظارة بالحاسوب عبر كابل بيانات USB 3 وMeta Horizon Link، مع إمكان Air Link على شبكة مناسبة.</x:v>
      </x:c>
    </x:row>
    <x:row r="228" ht="15" hidden="0" customHeight="1">
      <x:c r="A228" s="21" t="str">
        <x:v>P0211</x:v>
      </x:c>
      <x:c r="B228" s="13" t="str">
        <x:v>فقرة</x:v>
      </x:c>
      <x:c r="C228" s="13" t="str">
        <x:v>MAP-061</x:v>
      </x:c>
      <x:c r="D228" s="13" t="str">
        <x:v>chapters/chapter-03/index.html#section-3-10</x:v>
      </x:c>
      <x:c r="E228" s="14" t="str">
        <x:v>ظهور حالة الاتصال Connected/Active وتشغيل Play Mode عبر النظارة لا عبر المحاكي.</x:v>
      </x:c>
    </x:row>
    <x:row r="229" ht="15" hidden="0" customHeight="1">
      <x:c r="A229" s="22" t="str">
        <x:v>P0212</x:v>
      </x:c>
      <x:c r="B229" s="16" t="str">
        <x:v>فقرة</x:v>
      </x:c>
      <x:c r="C229" s="16" t="str">
        <x:v>MAP-061</x:v>
      </x:c>
      <x:c r="D229" s="16" t="str">
        <x:v>chapters/chapter-03/index.html#section-3-10</x:v>
      </x:c>
      <x:c r="E229" s="17" t="str">
        <x:v>تتبع الرأس ووحدتي التحكم وظهور اليدين في موضع مناسب.</x:v>
      </x:c>
    </x:row>
    <x:row r="230" ht="15" hidden="0" customHeight="1">
      <x:c r="A230" s="21" t="str">
        <x:v>P0213</x:v>
      </x:c>
      <x:c r="B230" s="13" t="str">
        <x:v>فقرة</x:v>
      </x:c>
      <x:c r="C230" s="13" t="str">
        <x:v>MAP-061</x:v>
      </x:c>
      <x:c r="D230" s="13" t="str">
        <x:v>chapters/chapter-03/index.html#section-3-10</x:v>
      </x:c>
      <x:c r="E230" s="14" t="str">
        <x:v>ضبط XR Origin وارتفاع الكاميرا بعد ظهور المستخدم قريبًا من الأرض.</x:v>
      </x:c>
    </x:row>
    <x:row r="231" ht="15" hidden="0" customHeight="1">
      <x:c r="A231" s="22" t="str">
        <x:v>P0214</x:v>
      </x:c>
      <x:c r="B231" s="16" t="str">
        <x:v>فقرة</x:v>
      </x:c>
      <x:c r="C231" s="16" t="str">
        <x:v>MAP-061</x:v>
      </x:c>
      <x:c r="D231" s="16" t="str">
        <x:v>chapters/chapter-03/index.html#section-3-10</x:v>
      </x:c>
      <x:c r="E231" s="17" t="str">
        <x:v>اختبار Teleport وSnap Turn والمحافظة على ارتفاع الكاميرا بعد الحركة.</x:v>
      </x:c>
    </x:row>
    <x:row r="232" ht="15" hidden="0" customHeight="1">
      <x:c r="A232" s="21" t="str">
        <x:v>P0215</x:v>
      </x:c>
      <x:c r="B232" s="13" t="str">
        <x:v>فقرة</x:v>
      </x:c>
      <x:c r="C232" s="13" t="str">
        <x:v>MAP-061</x:v>
      </x:c>
      <x:c r="D232" s="13" t="str">
        <x:v>chapters/chapter-03/index.html#section-3-10</x:v>
      </x:c>
      <x:c r="E232" s="14" t="str">
        <x:v>اختبار الإمساك بالمكعب وتحريكه وإفلاته، ثم الكرة والأسطوانة.</x:v>
      </x:c>
    </x:row>
    <x:row r="233" ht="15" hidden="0" customHeight="1">
      <x:c r="A233" s="22" t="str">
        <x:v>P0216</x:v>
      </x:c>
      <x:c r="B233" s="16" t="str">
        <x:v>فقرة</x:v>
      </x:c>
      <x:c r="C233" s="16" t="str">
        <x:v>MAP-061</x:v>
      </x:c>
      <x:c r="D233" s="16" t="str">
        <x:v>chapters/chapter-03/index.html#section-3-10</x:v>
      </x:c>
      <x:c r="E233" s="17" t="str">
        <x:v>اختبار Rigidbody وColliders ومنع سقوط المجسمات عبر الأرض.</x:v>
      </x:c>
    </x:row>
    <x:row r="234" ht="15" hidden="0" customHeight="1">
      <x:c r="A234" s="21" t="str">
        <x:v>P0217</x:v>
      </x:c>
      <x:c r="B234" s="13" t="str">
        <x:v>فقرة</x:v>
      </x:c>
      <x:c r="C234" s="13" t="str">
        <x:v>MAP-061</x:v>
      </x:c>
      <x:c r="D234" s="13" t="str">
        <x:v>chapters/chapter-03/index.html#section-3-10</x:v>
      </x:c>
      <x:c r="E234" s="14" t="str">
        <x:v>اختبار الأزرار والتبديل والمنزلق وربط On Click/Select Entered بالدوال الصحيحة.</x:v>
      </x:c>
    </x:row>
    <x:row r="235" ht="15" hidden="0" customHeight="1">
      <x:c r="A235" s="22" t="str">
        <x:v>P0218</x:v>
      </x:c>
      <x:c r="B235" s="16" t="str">
        <x:v>فقرة</x:v>
      </x:c>
      <x:c r="C235" s="16" t="str">
        <x:v>MAP-061</x:v>
      </x:c>
      <x:c r="D235" s="16" t="str">
        <x:v>chapters/chapter-03/index.html#section-3-10</x:v>
      </x:c>
      <x:c r="E235" s="17" t="str">
        <x:v>اختبار كل مقطع صوتي عربي من حيث الحدث المحفز، وصحة الملف، ووضوح النطق، ومستوى الصوت، وعدم التداخل، وتوقفه أو انتقاله الصحيح عند تغيير المرحلة.</x:v>
      </x:c>
    </x:row>
    <x:row r="236" ht="15" hidden="0" customHeight="1">
      <x:c r="A236" s="21" t="str">
        <x:v>P0219</x:v>
      </x:c>
      <x:c r="B236" s="13" t="str">
        <x:v>فقرة</x:v>
      </x:c>
      <x:c r="C236" s="13" t="str">
        <x:v>MAP-061</x:v>
      </x:c>
      <x:c r="D236" s="13" t="str">
        <x:v>chapters/chapter-03/index.html#section-3-10</x:v>
      </x:c>
      <x:c r="E236" s="14" t="str">
        <x:v>اختبار Reset بإعادة كل جسم إلى موضعه ودورانه وحجمه الابتدائي.</x:v>
      </x:c>
    </x:row>
    <x:row r="237" ht="15" hidden="0" customHeight="1">
      <x:c r="A237" s="22" t="str">
        <x:v>P0220</x:v>
      </x:c>
      <x:c r="B237" s="16" t="str">
        <x:v>فقرة</x:v>
      </x:c>
      <x:c r="C237" s="16" t="str">
        <x:v>MAP-061</x:v>
      </x:c>
      <x:c r="D237" s="16" t="str">
        <x:v>chapters/chapter-03/index.html#section-3-10</x:v>
      </x:c>
      <x:c r="E237" s="17" t="str">
        <x:v>مراجعة Console والتمييز بين الأخطاء المؤثرة والتحذيرات الناتجة عن حزم اختيارية.</x:v>
      </x:c>
    </x:row>
    <x:row r="238" ht="15" hidden="0" customHeight="1">
      <x:c r="A238" s="21" t="str">
        <x:v>P0221</x:v>
      </x:c>
      <x:c r="B238" s="13" t="str">
        <x:v>فقرة</x:v>
      </x:c>
      <x:c r="C238" s="13" t="str">
        <x:v>MAP-062</x:v>
      </x:c>
      <x:c r="D238" s="13" t="str">
        <x:v>chapters/chapter-03/index.html#section-3-11</x:v>
      </x:c>
      <x:c r="E238" s="14" t="str">
        <x:v>3.11 صعوبات التطوير ومعالجتها</x:v>
      </x:c>
    </x:row>
    <x:row r="239" ht="15" hidden="0" customHeight="1">
      <x:c r="A239" s="22" t="str">
        <x:v>P0222</x:v>
      </x:c>
      <x:c r="B239" s="16" t="str">
        <x:v>فقرة</x:v>
      </x:c>
      <x:c r="C239" s="16" t="str">
        <x:v>MAP-063</x:v>
      </x:c>
      <x:c r="D239" s="16" t="str">
        <x:v>chapters/chapter-03/index.html#section-3-11-1</x:v>
      </x:c>
      <x:c r="E239" s="17" t="str">
        <x:v>3.11.1 الاتصال والكابل</x:v>
      </x:c>
    </x:row>
    <x:row r="240" ht="24" hidden="0" customHeight="1">
      <x:c r="A240" s="21" t="str">
        <x:v>P0223</x:v>
      </x:c>
      <x:c r="B240" s="13" t="str">
        <x:v>فقرة</x:v>
      </x:c>
      <x:c r="C240" s="13" t="str">
        <x:v>MAP-063</x:v>
      </x:c>
      <x:c r="D240" s="13" t="str">
        <x:v>chapters/chapter-03/index.html#section-3-11-1</x:v>
      </x:c>
      <x:c r="E240" s="14" t="str">
        <x:v>لم يكن كل كابل USB-C صالحًا للبيانات؛ فالكابل الذي يشحن فقط لا يمكن تحويله برمجيًا إلى كابل بيانات. استخدم كابل USB 3 داعم للبيانات، مع مراعاة أن طول الكابل الأول كان قصيرًا. كما استُخدم Air Link خيارًا للاختبار حين تكون النظارة والحاسوب على شبكة 5 GHz أو Wi-Fi 6 مناسبة.</x:v>
      </x:c>
    </x:row>
    <x:row r="241" ht="15" hidden="0" customHeight="1">
      <x:c r="A241" s="22" t="str">
        <x:v>P0224</x:v>
      </x:c>
      <x:c r="B241" s="16" t="str">
        <x:v>فقرة</x:v>
      </x:c>
      <x:c r="C241" s="16" t="str">
        <x:v>MAP-064</x:v>
      </x:c>
      <x:c r="D241" s="16" t="str">
        <x:v>chapters/chapter-03/index.html#section-3-11-2</x:v>
      </x:c>
      <x:c r="E241" s="17" t="str">
        <x:v>3.11.2 اختيار بطاقة الرسوم</x:v>
      </x:c>
    </x:row>
    <x:row r="242" ht="24" hidden="0" customHeight="1">
      <x:c r="A242" s="21" t="str">
        <x:v>P0225</x:v>
      </x:c>
      <x:c r="B242" s="13" t="str">
        <x:v>فقرة</x:v>
      </x:c>
      <x:c r="C242" s="13" t="str">
        <x:v>MAP-064</x:v>
      </x:c>
      <x:c r="D242" s="13" t="str">
        <x:v>chapters/chapter-03/index.html#section-3-11-2</x:v>
      </x:c>
      <x:c r="E242" s="14" t="str">
        <x:v>ظهرت مشكلات في تعرف Meta Horizon Link إلى البطاقة المناسبة. عولجت بإضافة التطبيق إلى إعدادات الرسوم وضبط PredatorSense على Discrete GPU only ثم إعادة التشغيل، بهدف منع تشغيله على الرسوم المدمجة.</x:v>
      </x:c>
    </x:row>
    <x:row r="243" ht="15" hidden="0" customHeight="1">
      <x:c r="A243" s="22" t="str">
        <x:v>P0226</x:v>
      </x:c>
      <x:c r="B243" s="16" t="str">
        <x:v>فقرة</x:v>
      </x:c>
      <x:c r="C243" s="16" t="str">
        <x:v>MAP-065</x:v>
      </x:c>
      <x:c r="D243" s="16" t="str">
        <x:v>chapters/chapter-03/index.html#section-3-11-3</x:v>
      </x:c>
      <x:c r="E243" s="17" t="str">
        <x:v>3.11.3 ارتفاع الكاميرا</x:v>
      </x:c>
    </x:row>
    <x:row r="244" ht="24" hidden="0" customHeight="1">
      <x:c r="A244" s="21" t="str">
        <x:v>P0227</x:v>
      </x:c>
      <x:c r="B244" s="13" t="str">
        <x:v>فقرة</x:v>
      </x:c>
      <x:c r="C244" s="13" t="str">
        <x:v>MAP-065</x:v>
      </x:c>
      <x:c r="D244" s="13" t="str">
        <x:v>chapters/chapter-03/index.html#section-3-11-3</x:v>
      </x:c>
      <x:c r="E244" s="14" t="str">
        <x:v>ظهرت الكاميرا قريبة من الأرض في الاختبار الأول. عولجت المشكلة بضبط XR Origin ونمط التتبع/الإزاحة، ثم أعيد اختبار الانتقال والدوران للتأكد من ثبات الارتفاع ومكان اليدين.</x:v>
      </x:c>
    </x:row>
    <x:row r="245" ht="15" hidden="0" customHeight="1">
      <x:c r="A245" s="22" t="str">
        <x:v>P0228</x:v>
      </x:c>
      <x:c r="B245" s="16" t="str">
        <x:v>فقرة</x:v>
      </x:c>
      <x:c r="C245" s="16" t="str">
        <x:v>MAP-066</x:v>
      </x:c>
      <x:c r="D245" s="16" t="str">
        <x:v>chapters/chapter-03/index.html#section-3-11-4</x:v>
      </x:c>
      <x:c r="E245" s="17" t="str">
        <x:v>3.11.4 الفيزياء والإمساك</x:v>
      </x:c>
    </x:row>
    <x:row r="246" ht="24" hidden="0" customHeight="1">
      <x:c r="A246" s="21" t="str">
        <x:v>P0229</x:v>
      </x:c>
      <x:c r="B246" s="13" t="str">
        <x:v>فقرة</x:v>
      </x:c>
      <x:c r="C246" s="13" t="str">
        <x:v>MAP-066</x:v>
      </x:c>
      <x:c r="D246" s="13" t="str">
        <x:v>chapters/chapter-03/index.html#section-3-11-4</x:v>
      </x:c>
      <x:c r="E246" s="14" t="str">
        <x:v>تسببت إعدادات Rigidbody والجاذبية وCollider أحيانًا في اختراق المجسم للأرض أو سقوطه. جرى ضبط مكونات الفيزياء ونقاط البداية، ثم إضافة إعادة شاملة للموقع والدوران والحجم.</x:v>
      </x:c>
    </x:row>
    <x:row r="247" ht="15" hidden="0" customHeight="1">
      <x:c r="A247" s="22" t="str">
        <x:v>P0230</x:v>
      </x:c>
      <x:c r="B247" s="16" t="str">
        <x:v>فقرة</x:v>
      </x:c>
      <x:c r="C247" s="16" t="str">
        <x:v>MAP-067</x:v>
      </x:c>
      <x:c r="D247" s="16" t="str">
        <x:v>chapters/chapter-03/index.html#section-3-11-5</x:v>
      </x:c>
      <x:c r="E247" s="17" t="str">
        <x:v>3.11.5 تدفق الواجهات</x:v>
      </x:c>
    </x:row>
    <x:row r="248" ht="24" hidden="0" customHeight="1">
      <x:c r="A248" s="21" t="str">
        <x:v>P0231</x:v>
      </x:c>
      <x:c r="B248" s="13" t="str">
        <x:v>فقرة</x:v>
      </x:c>
      <x:c r="C248" s="13" t="str">
        <x:v>MAP-067</x:v>
      </x:c>
      <x:c r="D248" s="13" t="str">
        <x:v>chapters/chapter-03/index.html#section-3-11-5</x:v>
      </x:c>
      <x:c r="E248" s="14" t="str">
        <x:v>ظهر زر Reset Objects بعد Continue، لكن زر Enter Solids Lab لم يظهر في محاولات متعددة. كشفت المراجعة أن المشكلة في منطق انتقال الحالة وربط الأحداث، لا في شكل الزر. عُدلت شروط التقدم والمراجع، ثم ظهر الزر وانتقلت التجربة بنجاح. أظهر ذلك أن التحقق يجب أن يتابع السلسلة كاملة لا كل زر منفردًا.</x:v>
      </x:c>
    </x:row>
    <x:row r="249" ht="15" hidden="0" customHeight="1">
      <x:c r="A249" s="22" t="str">
        <x:v>P0232</x:v>
      </x:c>
      <x:c r="B249" s="16" t="str">
        <x:v>فقرة</x:v>
      </x:c>
      <x:c r="C249" s="16" t="str">
        <x:v>MAP-068</x:v>
      </x:c>
      <x:c r="D249" s="16" t="str">
        <x:v>chapters/chapter-03/index.html#section-3-11-6</x:v>
      </x:c>
      <x:c r="E249" s="17" t="str">
        <x:v>3.11.6 TextMeshPro والتحذيرات</x:v>
      </x:c>
    </x:row>
    <x:row r="250" ht="24" hidden="0" customHeight="1">
      <x:c r="A250" s="21" t="str">
        <x:v>P0233</x:v>
      </x:c>
      <x:c r="B250" s="13" t="str">
        <x:v>فقرة</x:v>
      </x:c>
      <x:c r="C250" s="13" t="str">
        <x:v>MAP-068</x:v>
      </x:c>
      <x:c r="D250" s="13" t="str">
        <x:v>chapters/chapter-03/index.html#section-3-11-6</x:v>
      </x:c>
      <x:c r="E250" s="14" t="str">
        <x:v>تأخر استيراد موارد TextMeshPro، وظهرت رسائل Console مرتبطة أحيانًا بحزم أو خدمات غير أساسية، مثل إعدادات صوت/سحابة. جرى فصل التحذير غير المؤثر عن الخطأ الذي يوقف الوظيفة، بدل تعديل مكونات لا تدخل في هدف المشهد.</x:v>
      </x:c>
    </x:row>
    <x:row r="251" ht="15" hidden="0" customHeight="1">
      <x:c r="A251" s="22" t="str">
        <x:v>P0234</x:v>
      </x:c>
      <x:c r="B251" s="16" t="str">
        <x:v>فقرة</x:v>
      </x:c>
      <x:c r="C251" s="16" t="str">
        <x:v>MAP-069</x:v>
      </x:c>
      <x:c r="D251" s="16" t="str">
        <x:v>chapters/chapter-03/index.html#section-3-12</x:v>
      </x:c>
      <x:c r="E251" s="17" t="str">
        <x:v>3.12 الاعتبارات الأخلاقية والسلامة</x:v>
      </x:c>
    </x:row>
    <x:row r="252" ht="36" hidden="0" customHeight="1">
      <x:c r="A252" s="21" t="str">
        <x:v>P0235</x:v>
      </x:c>
      <x:c r="B252" s="13" t="str">
        <x:v>فقرة</x:v>
      </x:c>
      <x:c r="C252" s="13" t="str">
        <x:v>MAP-069</x:v>
      </x:c>
      <x:c r="D252" s="13" t="str">
        <x:v>chapters/chapter-03/index.html#section-3-12</x:v>
      </x:c>
      <x:c r="E252" s="14" t="str">
        <x:v>لا توجد بيانات طلاب في النسخة الحالية. وعند الانتقال إلى تجربة بشرية يجب الحصول على موافقة المؤسسة وولي الأمر والطالب بحسب العمر، وبيان حق الانسحاب، وعدم جمع بيانات شخصية غير لازمة. ويجب تحديد منطقة آمنة، وتعقيم النظارة، ومراقبة الطالب، وتوفير خيار الجلوس، وإيقاف التجربة عند الدوار أو الصداع، وإدراج فواصل زمنية.</x:v>
      </x:c>
    </x:row>
    <x:row r="253" ht="15" hidden="0" customHeight="1">
      <x:c r="A253" s="22" t="str">
        <x:v>P0236</x:v>
      </x:c>
      <x:c r="B253" s="16" t="str">
        <x:v>فقرة</x:v>
      </x:c>
      <x:c r="C253" s="16" t="str">
        <x:v>MAP-070</x:v>
      </x:c>
      <x:c r="D253" s="16" t="str">
        <x:v>chapters/chapter-03/index.html#section-3-13</x:v>
      </x:c>
      <x:c r="E253" s="17" t="str">
        <x:v>3.13 سياسة الإتاحة والملكية</x:v>
      </x:c>
    </x:row>
    <x:row r="254" ht="36" hidden="0" customHeight="1">
      <x:c r="A254" s="21" t="str">
        <x:v>P0237</x:v>
      </x:c>
      <x:c r="B254" s="13" t="str">
        <x:v>فقرة</x:v>
      </x:c>
      <x:c r="C254" s="13" t="str">
        <x:v>MAP-070</x:v>
      </x:c>
      <x:c r="D254" s="13" t="str">
        <x:v>chapters/chapter-03/index.html#section-3-13</x:v>
      </x:c>
      <x:c r="E254" s="14" t="str">
        <x:v>يخطط الباحث لإتاحة النسخة التعليمية الأساسية مجانًا للمعلم والطالب بعد استكمال التطوير والاختبارات ومتطلبات النشر. ولا تعني المجانية فتح ملفات Unity أو الشفرة المصدرية؛ إذ يحتفظ الباحث بحقوق التصميم والشفرة والمكونات، ويمكن لاحقًا تقديم خدمات مؤسسية اختيارية مثل تخصيص المنهاج، ولوحة المعلم، والتدريب، والدعم الفني، من دون إغلاق المحتوى الأساسي أمام الطالب.</x:v>
      </x:c>
    </x:row>
    <x:row r="255" ht="15" hidden="0" customHeight="1">
      <x:c r="A255" s="22" t="str">
        <x:v>P0238</x:v>
      </x:c>
      <x:c r="B255" s="16" t="str">
        <x:v>فقرة</x:v>
      </x:c>
      <x:c r="C255" s="16" t="str">
        <x:v>MAP-070</x:v>
      </x:c>
      <x:c r="D255" s="16" t="str">
        <x:v>chapters/chapter-03/index.html#section-3-13</x:v>
      </x:c>
      <x:c r="E255" s="17" t="str"/>
    </x:row>
    <x:row r="256" ht="15" hidden="0" customHeight="1">
      <x:c r="A256" s="21" t="str">
        <x:v>P0239</x:v>
      </x:c>
      <x:c r="B256" s="13" t="str">
        <x:v>فقرة</x:v>
      </x:c>
      <x:c r="C256" s="13" t="str">
        <x:v>MAP-071</x:v>
      </x:c>
      <x:c r="D256" s="13" t="str">
        <x:v>chapters/chapter-04/index.html</x:v>
      </x:c>
      <x:c r="E256" s="14" t="str">
        <x:v>الفصل الرابع: نتائج التصميم والتطوير</x:v>
      </x:c>
    </x:row>
    <x:row r="257" ht="15" hidden="0" customHeight="1">
      <x:c r="A257" s="22" t="str">
        <x:v>P0240</x:v>
      </x:c>
      <x:c r="B257" s="16" t="str">
        <x:v>فقرة</x:v>
      </x:c>
      <x:c r="C257" s="16" t="str">
        <x:v>MAP-072</x:v>
      </x:c>
      <x:c r="D257" s="16" t="str">
        <x:v>chapters/chapter-04/index.html#section-4-1</x:v>
      </x:c>
      <x:c r="E257" s="17" t="str">
        <x:v>4.1 طبيعة النتائج</x:v>
      </x:c>
    </x:row>
    <x:row r="258" ht="24" hidden="0" customHeight="1">
      <x:c r="A258" s="21" t="str">
        <x:v>P0241</x:v>
      </x:c>
      <x:c r="B258" s="13" t="str">
        <x:v>فقرة</x:v>
      </x:c>
      <x:c r="C258" s="13" t="str">
        <x:v>MAP-072</x:v>
      </x:c>
      <x:c r="D258" s="13" t="str">
        <x:v>chapters/chapter-04/index.html#section-4-1</x:v>
      </x:c>
      <x:c r="E258" s="14" t="str">
        <x:v>تعرض هذه النتائج ما نتج عن عملية التصميم والتطوير، لا نتائج تعلم طلبة. وتتمثل في: صياغة مشكلة قابلة للتحويل إلى متطلبات، وبناء تسلسل تربوي، وتطوير مكونات وظيفية، والتحقق من سلوكها، وكشف صعوبات أدت إلى تحسين النموذج.</x:v>
      </x:c>
    </x:row>
    <x:row r="259" ht="15" hidden="0" customHeight="1">
      <x:c r="A259" s="22" t="str">
        <x:v>P0242</x:v>
      </x:c>
      <x:c r="B259" s="16" t="str">
        <x:v>فقرة</x:v>
      </x:c>
      <x:c r="C259" s="16" t="str">
        <x:v>MAP-073</x:v>
      </x:c>
      <x:c r="D259" s="16" t="str">
        <x:v>chapters/chapter-04/index.html#section-4-2</x:v>
      </x:c>
      <x:c r="E259" s="17" t="str">
        <x:v>4.2 النتيجة الأولى: نموذج تربوي ثلاثي المراحل</x:v>
      </x:c>
    </x:row>
    <x:row r="260" ht="36" hidden="0" customHeight="1">
      <x:c r="A260" s="21" t="str">
        <x:v>P0243</x:v>
      </x:c>
      <x:c r="B260" s="13" t="str">
        <x:v>فقرة</x:v>
      </x:c>
      <x:c r="C260" s="13" t="str">
        <x:v>MAP-073</x:v>
      </x:c>
      <x:c r="D260" s="13" t="str">
        <x:v>chapters/chapter-04/index.html#section-4-2</x:v>
      </x:c>
      <x:c r="E260" s="14" t="str">
        <x:v>تم التوصل إلى نموذج «التهيئة ← المجسمات ← التحويلات»، وترافقه طبقة إرشاد صوتي عربي تربط الأحداث وتوضح المطلوب عند الحاجة. تؤدي كل مرحلة وظيفة مختلفة: تزيل التهيئة عبء التحكم، ويبني مختبر المجسمات لغة مشتركة عن الجسم وخصائصه، ثم يستخدم مختبر التحويلات هذه اللغة لفهم التغير في الموضع والاتجاه والحجم. ويمثل هذا التدرج أهم ناتج تربوي للتصميم.</x:v>
      </x:c>
    </x:row>
    <x:row r="261" ht="15" hidden="0" customHeight="1">
      <x:c r="A261" s="22" t="str">
        <x:v>P0244</x:v>
      </x:c>
      <x:c r="B261" s="16" t="str">
        <x:v>فقرة</x:v>
      </x:c>
      <x:c r="C261" s="16" t="str">
        <x:v>MAP-074</x:v>
      </x:c>
      <x:c r="D261" s="16" t="str">
        <x:v>chapters/chapter-04/index.html#section-4-3</x:v>
      </x:c>
      <x:c r="E261" s="17" t="str">
        <x:v>4.3 النتيجة الثانية: غرفة تعلم مترابطة</x:v>
      </x:c>
    </x:row>
    <x:row r="262" ht="24" hidden="0" customHeight="1">
      <x:c r="A262" s="21" t="str">
        <x:v>P0245</x:v>
      </x:c>
      <x:c r="B262" s="13" t="str">
        <x:v>فقرة</x:v>
      </x:c>
      <x:c r="C262" s="13" t="str">
        <x:v>MAP-074</x:v>
      </x:c>
      <x:c r="D262" s="13" t="str">
        <x:v>chapters/chapter-04/index.html#section-4-3</x:v>
      </x:c>
      <x:c r="E262" s="14" t="str">
        <x:v>أدى النقاش حول الانتقال بين المشاهد إلى قرار إبقاء الهيكل الأساسي من جدران وأرضية وسقف، وإظهار مكونات المرحلة الجديدة وإخفاء السابقة. يقلل ذلك تغير السياق ويجعل الانتقال مفاهيميًا أكثر منه مكانيًا: الطالب لم يغادر المختبر، بل تقدم إلى محطة تعلم جديدة داخله.</x:v>
      </x:c>
    </x:row>
    <x:row r="263" ht="15" hidden="0" customHeight="1">
      <x:c r="A263" s="22" t="str">
        <x:v>P0246</x:v>
      </x:c>
      <x:c r="B263" s="16" t="str">
        <x:v>فقرة</x:v>
      </x:c>
      <x:c r="C263" s="16" t="str">
        <x:v>MAP-075</x:v>
      </x:c>
      <x:c r="D263" s="16" t="str">
        <x:v>chapters/chapter-04/index.html#section-4-4</x:v>
      </x:c>
      <x:c r="E263" s="17" t="str">
        <x:v>4.4 النتيجة الثالثة: التهيئة جزء من المحتوى</x:v>
      </x:c>
    </x:row>
    <x:row r="264" ht="24" hidden="0" customHeight="1">
      <x:c r="A264" s="21" t="str">
        <x:v>P0247</x:v>
      </x:c>
      <x:c r="B264" s="13" t="str">
        <x:v>فقرة</x:v>
      </x:c>
      <x:c r="C264" s="13" t="str">
        <x:v>MAP-075</x:v>
      </x:c>
      <x:c r="D264" s="13" t="str">
        <x:v>chapters/chapter-04/index.html#section-4-4</x:v>
      </x:c>
      <x:c r="E264" s="14" t="str">
        <x:v>لم تعد التهيئة تعليمات خارجية من المعلم، بل مشهدًا مقصودًا يتيح اللعب الحر ثم مهمات موجهة. يحقق هذا التصميم فصلًا بين خطأ استخدام وحدة التحكم وخطأ الفهم الهندسي؛ فإذا دخل الطالب إلى مهمة المجسمات فقد سبق أن تدرب على الإمساك والإفلات والحركة والإعادة.</x:v>
      </x:c>
    </x:row>
    <x:row r="265" ht="15" hidden="0" customHeight="1">
      <x:c r="A265" s="22" t="str">
        <x:v>P0248</x:v>
      </x:c>
      <x:c r="B265" s="16" t="str">
        <x:v>فقرة</x:v>
      </x:c>
      <x:c r="C265" s="16" t="str">
        <x:v>MAP-076</x:v>
      </x:c>
      <x:c r="D265" s="16" t="str">
        <x:v>chapters/chapter-04/index.html#section-4-5</x:v>
      </x:c>
      <x:c r="E265" s="17" t="str">
        <x:v>4.5 النتيجة الرابعة: خصائص المجسمات بوصفها طبقات قابلة للتحكم</x:v>
      </x:c>
    </x:row>
    <x:row r="266" ht="24" hidden="0" customHeight="1">
      <x:c r="A266" s="21" t="str">
        <x:v>P0249</x:v>
      </x:c>
      <x:c r="B266" s="13" t="str">
        <x:v>فقرة</x:v>
      </x:c>
      <x:c r="C266" s="13" t="str">
        <x:v>MAP-076</x:v>
      </x:c>
      <x:c r="D266" s="13" t="str">
        <x:v>chapters/chapter-04/index.html#section-4-5</x:v>
      </x:c>
      <x:c r="E266" s="14" t="str">
        <x:v>لم يُعرض المجسم بوصفه كتلة لونية فقط؛ فقد فصل التصميم بين الجسم ومعلوماته وتسمياته وأدلته. يستطيع الطالب أن يشاهد المجسم أولًا، ثم يظهر Label Face/Edge/Vertex أو الأدلة الخاصة بالكرة والأسطوانة، ويخفيها عندما تتحول إلى تشتيت. كما يتيح Auto Rotate رؤية متدرجة للجوانب مع التحكم في السرعة.</x:v>
      </x:c>
    </x:row>
    <x:row r="267" ht="15" hidden="0" customHeight="1">
      <x:c r="A267" s="22" t="str">
        <x:v>P0250</x:v>
      </x:c>
      <x:c r="B267" s="16" t="str">
        <x:v>فقرة</x:v>
      </x:c>
      <x:c r="C267" s="16" t="str">
        <x:v>MAP-077</x:v>
      </x:c>
      <x:c r="D267" s="16" t="str">
        <x:v>chapters/chapter-04/index.html#section-4-6</x:v>
      </x:c>
      <x:c r="E267" s="17" t="str">
        <x:v>4.6 النتيجة الخامسة: الصوت العربي أداة لضبط مسار التعلم</x:v>
      </x:c>
    </x:row>
    <x:row r="268" ht="48" hidden="0" customHeight="1">
      <x:c r="A268" s="21" t="str">
        <x:v>P0251</x:v>
      </x:c>
      <x:c r="B268" s="13" t="str">
        <x:v>فقرة</x:v>
      </x:c>
      <x:c r="C268" s="13" t="str">
        <x:v>MAP-077</x:v>
      </x:c>
      <x:c r="D268" s="13" t="str">
        <x:v>chapters/chapter-04/index.html#section-4-6</x:v>
      </x:c>
      <x:c r="E268" s="14" t="str">
        <x:v>أدت إضافة الصوت العربي إلى تحويل جزء من التوجيه من تعليمات خارجية يعتمد تنفيذها كليًا على حضور المعلم إلى إرشاد مدمج في أحداث التطبيق. فالمقطع لا يعمل لمجرد ملء الصمت؛ بل يعلن المهمة، ويحفز الطالب، ويتابع تقدمه، ويعيد توجيهه نحو الهدف. وتمثل هذه الإضافة حاجزًا تربويًا أمام اختزال التطبيق في اللعب الحر: يسمح التصميم بالاستكشاف، لكنه ينقله تدريجيًا إلى أفعال وملاحظات مرتبطة بالمجسم وخصائصه. ولا تعني هذه النتيجة ثبوت أثر الصوت في التحصيل؛ بل تعني تحقق مكوّن تصميمي مقصود يحتاج إلى تقويم لاحق مع الطلبة.</x:v>
      </x:c>
    </x:row>
    <x:row r="269" ht="15" hidden="0" customHeight="1">
      <x:c r="A269" s="22" t="str">
        <x:v>P0252</x:v>
      </x:c>
      <x:c r="B269" s="16" t="str">
        <x:v>فقرة</x:v>
      </x:c>
      <x:c r="C269" s="16" t="str">
        <x:v>MAP-078</x:v>
      </x:c>
      <x:c r="D269" s="16" t="str">
        <x:v>chapters/chapter-04/index.html#section-4-7</x:v>
      </x:c>
      <x:c r="E269" s="17" t="str">
        <x:v>4.7 مصفوفة التحقق الوظيفي</x:v>
      </x:c>
    </x:row>
    <x:row r="270" ht="15" hidden="0" customHeight="1">
      <x:c r="A270" s="21" t="str">
        <x:v>P0253</x:v>
      </x:c>
      <x:c r="B270" s="13" t="str">
        <x:v>فقرة</x:v>
      </x:c>
      <x:c r="C270" s="13" t="str">
        <x:v>MAP-078</x:v>
      </x:c>
      <x:c r="D270" s="13" t="str">
        <x:v>chapters/chapter-04/index.html#section-4-7</x:v>
      </x:c>
      <x:c r="E270" s="14" t="str">
        <x:v>جدول (6): مصفوفة التحقق الوظيفي وحالة الوظائف حتى 29/7/2026</x:v>
      </x:c>
    </x:row>
    <x:row r="271" ht="276" hidden="0" customHeight="1">
      <x:c r="A271" s="22" t="str">
        <x:v>T013</x:v>
      </x:c>
      <x:c r="B271" s="16" t="str">
        <x:v>جدول</x:v>
      </x:c>
      <x:c r="C271" s="16" t="str">
        <x:v>MAP-078</x:v>
      </x:c>
      <x:c r="D271" s="16" t="str">
        <x:v>chapters/chapter-04/index.html#section-4-7</x:v>
      </x:c>
      <x:c r="E271" s="17" t="str">
        <x:v>الوظيفة / المعيار / الحالة / الدليل/الملاحظة
اتصال Quest Link وتشغيل Play Mode / النظارة متصلة ويظهر التطبيق / متحقق / نجح بعد ضبط الكابل/التطبيق والبطاقة.
تتبع الرأس واليدين / المنظر واليدان يتبعان المستخدم / متحقق / اختبار مباشر داخل النظارة.
ارتفاع الكاميرا / ارتفاع طبيعي غير ملاصق للأرض / متحقق / أعيد ضبط XR Origin ثم أعيد الاختبار.
Teleport / انتقال صحيح مع ثبات الارتفاع / متحقق / اختبار داخل الغرفة.
Snap Turn / دوران يمين/يسار بصورة متقطعة / متحقق / لم يتغير موضع اليدين أو الارتفاع.
الإمساك والإفلات / التقاط المكعب وتحريكه وتركه / متحقق / نجح الاختبار المباشر.
إعادة الأجسام / عودة المجسمات لمواضع البداية / متحقق / PracticeObjectsResetter ونقاط Start.
بطاقات التهيئة / Intro ثم Tasks ثم Success / متحقق / ظهر النجاح بعد إتمام التسلسل.
زر Continue / تقدم إلى الحالة التالية / متحقق / ربط الحدث واختبار السلوك.
زر Enter Solids Lab / يظهر بعد النجاح وينقل للمختبر / متحقق بعد إصلاح / تعطل سابقًا ثم عولج منطق الحالة.
اختيار Cube/Sphere/Cylinder / تبديل المجسم والمعلومات / متحقق / ضبط أحداث الأزرار الثلاثة.
Reset للمجسم المختار / استعادة الموضع والدوران والحجم / متحقق / اختبار على اللوحة.
عرض معلومات المجسم / اسم/أسطح/حواف/رؤوس/وصف / منجز / يتطلب مراجعة لغوية نهائية لكل محتوى.
إظهار الأدلة / تبديل Guides / منجز جزئيًا / نجح التبديل؛ يلزم فحص بصري نهائي لكل مجسم.
إظهار التسميات / تبديل Labels / منجز جزئيًا / Labels Cube أُعدت؛ يلزم توحيد المواقع على جميع المجسمات.
الدوران التلقائي والسرعة / تشغيل/إيقاف وتغيير السرعة / منجز جزئيًا / التحكم بُني؛ الرؤية على الكرة/الأسطوانة تحتاج ضبطًا.
مختبر التحويلات / انسحاب/دوران/تحجيم موجه / قيد التطوير / مواصفات تربوية موجودة، لا يُعد وظيفة منجزة.
CSG/Revolve/Extrude/Sweep / عمليات متقدمة / خارج النطاق الحالي / انتقلت إلى توسعات مستقبلية.
تحليلات طلاب/Trace Data / سجلات تعلم قابلة للتحليل / غير مستخدمة بحثيًا / لا بيانات طلاب في الدراسة الحالية.
APK منشور للعامة / نسخة مجانية في المتجر / لم يتحقق بعد / يتطلب إكمال المنتج واختبارات Meta VRC.
الإرشاد الصوتي العربي / تشغيل المقطع الصحيح عند الحدث وبوضوح ومن دون تداخل / متحقق / أضيفت ملفات MP3 العربية وربطت بأحداث المشهد؛ توصى مراجعة المستوى والتزامن مع طلبة لاحقًا.</x:v>
      </x:c>
    </x:row>
    <x:row r="272" ht="15" hidden="0" customHeight="1">
      <x:c r="A272" s="21" t="str">
        <x:v>P0254</x:v>
      </x:c>
      <x:c r="B272" s="13" t="str">
        <x:v>فقرة</x:v>
      </x:c>
      <x:c r="C272" s="13" t="str">
        <x:v>MAP-078</x:v>
      </x:c>
      <x:c r="D272" s="13" t="str">
        <x:v>chapters/chapter-04/index.html#section-4-7</x:v>
      </x:c>
      <x:c r="E272" s="14" t="str"/>
    </x:row>
    <x:row r="273" ht="15" hidden="0" customHeight="1">
      <x:c r="A273" s="22" t="str">
        <x:v>P0255</x:v>
      </x:c>
      <x:c r="B273" s="16" t="str">
        <x:v>فقرة</x:v>
      </x:c>
      <x:c r="C273" s="16" t="str">
        <x:v>MAP-079</x:v>
      </x:c>
      <x:c r="D273" s="16" t="str">
        <x:v>chapters/chapter-04/index.html#section-4-8</x:v>
      </x:c>
      <x:c r="E273" s="17" t="str">
        <x:v>4.8 النتيجة السادسة: المشكلة التقنية مصدر لقرار تربوي</x:v>
      </x:c>
    </x:row>
    <x:row r="274" ht="36" hidden="0" customHeight="1">
      <x:c r="A274" s="21" t="str">
        <x:v>P0256</x:v>
      </x:c>
      <x:c r="B274" s="13" t="str">
        <x:v>فقرة</x:v>
      </x:c>
      <x:c r="C274" s="13" t="str">
        <x:v>MAP-079</x:v>
      </x:c>
      <x:c r="D274" s="13" t="str">
        <x:v>chapters/chapter-04/index.html#section-4-8</x:v>
      </x:c>
      <x:c r="E274" s="14" t="str">
        <x:v>لم تكن المشكلات منفصلة عن التصميم. مشكلة ارتفاع الكاميرا أبرزت ضرورة اختبار راحة الطالب، ومشكلة زر الانتقال أبرزت ضرورة فحص التسلسل الكامل، وسقوط الأجسام أدى إلى إضافة Reset بوصفه دعمًا للمحاولة. وهكذا عمل التطوير التكراري كحلقة: مشكلة تشغيل ← تشخيص ← تعديل ← إعادة اختبار ← مبدأ تصميم.</x:v>
      </x:c>
    </x:row>
    <x:row r="275" ht="15" hidden="0" customHeight="1">
      <x:c r="A275" s="22" t="str">
        <x:v>P0257</x:v>
      </x:c>
      <x:c r="B275" s="16" t="str">
        <x:v>فقرة</x:v>
      </x:c>
      <x:c r="C275" s="16" t="str">
        <x:v>MAP-080</x:v>
      </x:c>
      <x:c r="D275" s="16" t="str">
        <x:v>chapters/chapter-04/index.html#section-4-9</x:v>
      </x:c>
      <x:c r="E275" s="17" t="str">
        <x:v>4.9 النتيجة السابعة: صياغة مساهمة واقعية</x:v>
      </x:c>
    </x:row>
    <x:row r="276" ht="24" hidden="0" customHeight="1">
      <x:c r="A276" s="21" t="str">
        <x:v>P0258</x:v>
      </x:c>
      <x:c r="B276" s="13" t="str">
        <x:v>فقرة</x:v>
      </x:c>
      <x:c r="C276" s="13" t="str">
        <x:v>MAP-080</x:v>
      </x:c>
      <x:c r="D276" s="13" t="str">
        <x:v>chapters/chapter-04/index.html#section-4-9</x:v>
      </x:c>
      <x:c r="E276" s="14" t="str">
        <x:v>أظهرت المقارنة أنه لا يصح وصف التطبيق بأنه أول بيئة VR للهندسة. المساهمة الأدق هي تصميم نموذج عربي مجاني النسخة الأساسية، موجه للثانوي، يجمع التهيئة والمجسمات والتحويلات في مسار واحد. كما لا يصح وصف مختبر التحويلات بالمنجز قبل اكتماله، ولا وصف الوظائف بأنها حسنت التعلم قبل دراسة بشرية.</x:v>
      </x:c>
    </x:row>
    <x:row r="277" ht="15" hidden="0" customHeight="1">
      <x:c r="A277" s="22" t="str">
        <x:v>P0259</x:v>
      </x:c>
      <x:c r="B277" s="16" t="str">
        <x:v>فقرة</x:v>
      </x:c>
      <x:c r="C277" s="16" t="str">
        <x:v>MAP-081</x:v>
      </x:c>
      <x:c r="D277" s="16" t="str">
        <x:v>chapters/chapter-04/index.html#section-4-10</x:v>
      </x:c>
      <x:c r="E277" s="17" t="str">
        <x:v>4.10 الإجابة عن أسئلة البحث</x:v>
      </x:c>
    </x:row>
    <x:row r="278" ht="15" hidden="0" customHeight="1">
      <x:c r="A278" s="21" t="str">
        <x:v>P0260</x:v>
      </x:c>
      <x:c r="B278" s="13" t="str">
        <x:v>فقرة</x:v>
      </x:c>
      <x:c r="C278" s="13" t="str">
        <x:v>MAP-081</x:v>
      </x:c>
      <x:c r="D278" s="13" t="str">
        <x:v>chapters/chapter-04/index.html#section-4-10</x:v>
      </x:c>
      <x:c r="E278" s="14" t="str">
        <x:v>جدول (7): خلاصة الإجابة عن أسئلة البحث</x:v>
      </x:c>
    </x:row>
    <x:row r="279" ht="84" hidden="0" customHeight="1">
      <x:c r="A279" s="22" t="str">
        <x:v>T014</x:v>
      </x:c>
      <x:c r="B279" s="16" t="str">
        <x:v>جدول</x:v>
      </x:c>
      <x:c r="C279" s="16" t="str">
        <x:v>MAP-081</x:v>
      </x:c>
      <x:c r="D279" s="16" t="str">
        <x:v>chapters/chapter-04/index.html#section-4-10</x:v>
      </x:c>
      <x:c r="E279" s="17" t="str">
        <x:v>السؤال / الإجابة المستخلصة
المتطلبات / التدرج، والتفاعل المباشر، والإعادة، والأدلة القابلة للتحكم، والراحة، والإرشاد الصوتي العربي، والمجانية، والشفافية.
النموذج التعليمي / تهيئة حرة وموجهة، ثم مختبر مجسمات، ثم مختبر تحويلات داخل غرفة مترابطة، مع صوت عربي يربط أحداث المسار.
الترجمة التقنية / Unity 6.4 + OpenXR + XRI، مع مشاهد/جذور منطقية وسكربتات للاختيار والإعادة والتدفق.
مدى التحقق / تحققت وظائف XR الأساسية والتهيئة واختيار المجسمات؛ بقيت وظائف بصرية جزئية والتحويلات قيد التطوير.
الصعوبات / الكابل والاتصال والبطاقة والكاميرا والفيزياء وربط الأحداث والواجهات، وعولجت تكراريًا.
التميز والحدود / تسلسل مدرسي عربي وإتاحة مجانية؛ يقابله عدم اكتمال التحويلات وغياب تقويم مستخدم مستقل.</x:v>
      </x:c>
    </x:row>
    <x:row r="280" ht="15" hidden="0" customHeight="1">
      <x:c r="A280" s="21" t="str">
        <x:v>P0261</x:v>
      </x:c>
      <x:c r="B280" s="13" t="str">
        <x:v>فقرة</x:v>
      </x:c>
      <x:c r="C280" s="13" t="str">
        <x:v>MAP-081</x:v>
      </x:c>
      <x:c r="D280" s="13" t="str">
        <x:v>chapters/chapter-04/index.html#section-4-10</x:v>
      </x:c>
      <x:c r="E280" s="14" t="str"/>
    </x:row>
    <x:row r="281" ht="15" hidden="0" customHeight="1">
      <x:c r="A281" s="22" t="str">
        <x:v>P0262</x:v>
      </x:c>
      <x:c r="B281" s="16" t="str">
        <x:v>فقرة</x:v>
      </x:c>
      <x:c r="C281" s="16" t="str">
        <x:v>MAP-082</x:v>
      </x:c>
      <x:c r="D281" s="16" t="str">
        <x:v>chapters/chapter-04/index.html#section-4-11</x:v>
      </x:c>
      <x:c r="E281" s="17" t="str">
        <x:v>4.11 ملخص الفصل</x:v>
      </x:c>
    </x:row>
    <x:row r="282" ht="24" hidden="0" customHeight="1">
      <x:c r="A282" s="21" t="str">
        <x:v>P0263</x:v>
      </x:c>
      <x:c r="B282" s="13" t="str">
        <x:v>فقرة</x:v>
      </x:c>
      <x:c r="C282" s="13" t="str">
        <x:v>MAP-082</x:v>
      </x:c>
      <x:c r="D282" s="13" t="str">
        <x:v>chapters/chapter-04/index.html#section-4-11</x:v>
      </x:c>
      <x:c r="E282" s="14" t="str">
        <x:v>أنتج البحث نموذجًا وظيفيًا ناضجًا في التهيئة وأساسيات المجسمات، وأضاف إليه إرشادًا صوتيًا عربيًا مرتبطًا بالأحداث، كما أنتج نموذجًا تربويًا واضحًا للانتقال إلى التحويلات. أما النتيجة التي لم ينتجها فهي قياس أثر هذه المكونات على تعلم الطالب؛ وقد حُفظ هذا الحد بوضوح لضمان نزاهة الاستنتاج.</x:v>
      </x:c>
    </x:row>
    <x:row r="283" ht="15" hidden="0" customHeight="1">
      <x:c r="A283" s="22" t="str">
        <x:v>P0264</x:v>
      </x:c>
      <x:c r="B283" s="16" t="str">
        <x:v>فقرة</x:v>
      </x:c>
      <x:c r="C283" s="16" t="str">
        <x:v>MAP-082</x:v>
      </x:c>
      <x:c r="D283" s="16" t="str">
        <x:v>chapters/chapter-04/index.html#section-4-11</x:v>
      </x:c>
      <x:c r="E283" s="17" t="str"/>
    </x:row>
    <x:row r="284" ht="15" hidden="0" customHeight="1">
      <x:c r="A284" s="21" t="str">
        <x:v>P0265</x:v>
      </x:c>
      <x:c r="B284" s="13" t="str">
        <x:v>فقرة</x:v>
      </x:c>
      <x:c r="C284" s="13" t="str">
        <x:v>MAP-083</x:v>
      </x:c>
      <x:c r="D284" s="13" t="str">
        <x:v>chapters/chapter-05/index.html</x:v>
      </x:c>
      <x:c r="E284" s="14" t="str">
        <x:v>الفصل الخامس: المناقشة والاستنتاجات والتوصيات</x:v>
      </x:c>
    </x:row>
    <x:row r="285" ht="15" hidden="0" customHeight="1">
      <x:c r="A285" s="22" t="str">
        <x:v>P0266</x:v>
      </x:c>
      <x:c r="B285" s="16" t="str">
        <x:v>فقرة</x:v>
      </x:c>
      <x:c r="C285" s="16" t="str">
        <x:v>MAP-084</x:v>
      </x:c>
      <x:c r="D285" s="16" t="str">
        <x:v>chapters/chapter-05/index.html#section-5-1</x:v>
      </x:c>
      <x:c r="E285" s="17" t="str">
        <x:v>5.1 مناقشة النتائج في ضوء المشكلة</x:v>
      </x:c>
    </x:row>
    <x:row r="286" ht="48" hidden="0" customHeight="1">
      <x:c r="A286" s="21" t="str">
        <x:v>P0267</x:v>
      </x:c>
      <x:c r="B286" s="13" t="str">
        <x:v>فقرة</x:v>
      </x:c>
      <x:c r="C286" s="13" t="str">
        <x:v>MAP-084</x:v>
      </x:c>
      <x:c r="D286" s="13" t="str">
        <x:v>chapters/chapter-05/index.html#section-5-1</x:v>
      </x:c>
      <x:c r="E286" s="14" t="str">
        <x:v>تعالج البيئة المشكلة الأصلية على ثلاثة مستويات. أولًا، تحول المجسم من رسم ينبغي تخيله إلى جسم يمكن الاقتراب منه ومعالجته. وثانيًا، تفصل تعلم التحكم عن تعلم المفهوم. وثالثًا، تضيف توجيهًا صوتيًا عربيًا داخل الأحداث كي لا يُترك الطالب أمام حرية تقنية بلا مقصد، وكي تبقى الحركة والملاحظة متصلتين بالمهمة الهندسية. وهذا الفصل مهم لأن صعوبة الواقع الافتراضي أو جِدته قد تحجب فائدته، وهو ما أشارت إليه خبرات صفية سابقة عند ظهور مشكلات تقنية ودوار وحاجة إلى إرشاد (Domínguez Vázquez &amp; Díaz Palencia, 2024).</x:v>
      </x:c>
    </x:row>
    <x:row r="287" ht="15" hidden="0" customHeight="1">
      <x:c r="A287" s="22" t="str">
        <x:v>P0268</x:v>
      </x:c>
      <x:c r="B287" s="16" t="str">
        <x:v>فقرة</x:v>
      </x:c>
      <x:c r="C287" s="16" t="str">
        <x:v>MAP-085</x:v>
      </x:c>
      <x:c r="D287" s="16" t="str">
        <x:v>chapters/chapter-05/index.html#section-5-2</x:v>
      </x:c>
      <x:c r="E287" s="17" t="str">
        <x:v>5.2 التهيئة والعبء المعرفي</x:v>
      </x:c>
    </x:row>
    <x:row r="288" ht="36" hidden="0" customHeight="1">
      <x:c r="A288" s="21" t="str">
        <x:v>P0269</x:v>
      </x:c>
      <x:c r="B288" s="13" t="str">
        <x:v>فقرة</x:v>
      </x:c>
      <x:c r="C288" s="13" t="str">
        <x:v>MAP-085</x:v>
      </x:c>
      <x:c r="D288" s="13" t="str">
        <x:v>chapters/chapter-05/index.html#section-5-2</x:v>
      </x:c>
      <x:c r="E288" s="14" t="str">
        <x:v>يتفق إدراج التهيئة مع مبدأ التدريب القبلي: يتعلم الطالب أسماء الأفعال وإجراءاتها قبل الدرس الرئيس. وبدل أن يشرح المعلم زر الإمساك أثناء سؤال عن الحواف، يصبح الإمساك مهارة سابقة. ولا يعني ذلك أن التهيئة تضمن تقليل العبء؛ بل إنها قرار تصميمي ينبغي اختباره لاحقًا، لكن الأدبيات تقدم أساسًا معقولًا له (Meyer et al., 2019; Mayer, 2009).</x:v>
      </x:c>
    </x:row>
    <x:row r="289" ht="15" hidden="0" customHeight="1">
      <x:c r="A289" s="22" t="str">
        <x:v>P0270</x:v>
      </x:c>
      <x:c r="B289" s="16" t="str">
        <x:v>فقرة</x:v>
      </x:c>
      <x:c r="C289" s="16" t="str">
        <x:v>MAP-086</x:v>
      </x:c>
      <x:c r="D289" s="16" t="str">
        <x:v>chapters/chapter-05/index.html#section-5-3</x:v>
      </x:c>
      <x:c r="E289" s="17" t="str">
        <x:v>5.3 الإرشاد الصوتي العربي بين الاستقلال والتوجيه</x:v>
      </x:c>
    </x:row>
    <x:row r="290" ht="36" hidden="0" customHeight="1">
      <x:c r="A290" s="21" t="str">
        <x:v>P0271</x:v>
      </x:c>
      <x:c r="B290" s="13" t="str">
        <x:v>فقرة</x:v>
      </x:c>
      <x:c r="C290" s="13" t="str">
        <x:v>MAP-086</x:v>
      </x:c>
      <x:c r="D290" s="13" t="str">
        <x:v>chapters/chapter-05/index.html#section-5-3</x:v>
      </x:c>
      <x:c r="E290" s="14" t="str">
        <x:v>يوازن الإرشاد الصوتي بين طرفين: ترك الطالب يتجول من دون مقصد، وتقييد التجربة بتعليمات متواصلة تسلبه الاكتشاف. وقد اعتمد التصميم تدخلًا صوتيًا قصيرًا عند نقاط القرار، بحيث يعرف الطالب ما المطلوب ولماذا ينتقل، ثم يحتفظ بمساحة للملاحظة والمحاولة. كما أن استخدام العربية يخفف الحاجز اللغوي ويجعل المصطلح والتشجيع أقرب إلى سياق الطالب المدرسي.</x:v>
      </x:c>
    </x:row>
    <x:row r="291" ht="36" hidden="0" customHeight="1">
      <x:c r="A291" s="22" t="str">
        <x:v>P0272</x:v>
      </x:c>
      <x:c r="B291" s="16" t="str">
        <x:v>فقرة</x:v>
      </x:c>
      <x:c r="C291" s="16" t="str">
        <x:v>MAP-086</x:v>
      </x:c>
      <x:c r="D291" s="16" t="str">
        <x:v>chapters/chapter-05/index.html#section-5-3</x:v>
      </x:c>
      <x:c r="E291" s="17" t="str">
        <x:v>ومن الناحية التربوية، لا يُقاس نجاح الصوت بجمال التسجيل وحده، بل بقدرته على توجيه السلوك نحو هدف قابل للملاحظة: اختيار مجسم، النظر إلى خاصية، تنفيذ فعل، أو الانتقال بعد تحقق شرط. لذلك ينبغي أن يظل قابلًا للإيقاف أو إعادة التشغيل مستقبلًا، وأن يُراجع مع طلبة حقيقيين من حيث السرعة والوضوح ومستوى الصوت والحاجة إلى ترجمة مكتوبة، مراعاةً للفروق الفردية وإتاحة المحتوى.</x:v>
      </x:c>
    </x:row>
    <x:row r="292" ht="15" hidden="0" customHeight="1">
      <x:c r="A292" s="21" t="str">
        <x:v>P0273</x:v>
      </x:c>
      <x:c r="B292" s="13" t="str">
        <x:v>فقرة</x:v>
      </x:c>
      <x:c r="C292" s="13" t="str">
        <x:v>MAP-087</x:v>
      </x:c>
      <x:c r="D292" s="13" t="str">
        <x:v>chapters/chapter-05/index.html#section-5-4</x:v>
      </x:c>
      <x:c r="E292" s="14" t="str">
        <x:v>5.4 التفاعل المتجسد والتصور الفراغي</x:v>
      </x:c>
    </x:row>
    <x:row r="293" ht="36" hidden="0" customHeight="1">
      <x:c r="A293" s="22" t="str">
        <x:v>P0274</x:v>
      </x:c>
      <x:c r="B293" s="16" t="str">
        <x:v>فقرة</x:v>
      </x:c>
      <x:c r="C293" s="16" t="str">
        <x:v>MAP-087</x:v>
      </x:c>
      <x:c r="D293" s="16" t="str">
        <x:v>chapters/chapter-05/index.html#section-5-4</x:v>
      </x:c>
      <x:c r="E293" s="17" t="str">
        <x:v>يسمح المشي حول المجسم وتدويره باليد بتطابق نسبي بين الحركة والمفهوم، وهو شرط مهم في التعلم المتجسد. غير أن المشروع لا يساوي بين كثرة الحركة وجودة التعلم. يجب أن تبقى الحركة ذات معنى هندسي، وأن تتبعها أسئلة أو تسميات أو مقارنة بين حالتين. لذلك يُقترح في مختبر التحويلات عرض الجسم قبل وبعد التحويل والمحاور والقيم، لا الاكتفاء بتحريكه بحرية.</x:v>
      </x:c>
    </x:row>
    <x:row r="294" ht="15" hidden="0" customHeight="1">
      <x:c r="A294" s="21" t="str">
        <x:v>P0275</x:v>
      </x:c>
      <x:c r="B294" s="13" t="str">
        <x:v>فقرة</x:v>
      </x:c>
      <x:c r="C294" s="13" t="str">
        <x:v>MAP-088</x:v>
      </x:c>
      <x:c r="D294" s="13" t="str">
        <x:v>chapters/chapter-05/index.html#section-5-5</x:v>
      </x:c>
      <x:c r="E294" s="14" t="str">
        <x:v>5.5 المقارنة مع الدراسات والتطبيقات</x:v>
      </x:c>
    </x:row>
    <x:row r="295" ht="36" hidden="0" customHeight="1">
      <x:c r="A295" s="22" t="str">
        <x:v>P0276</x:v>
      </x:c>
      <x:c r="B295" s="16" t="str">
        <x:v>فقرة</x:v>
      </x:c>
      <x:c r="C295" s="16" t="str">
        <x:v>MAP-088</x:v>
      </x:c>
      <x:c r="D295" s="16" t="str">
        <x:v>chapters/chapter-05/index.html#section-5-5</x:v>
      </x:c>
      <x:c r="E295" s="17" t="str">
        <x:v>يشترك المشروع مع Su وزملائه في تحويل مفاهيم هندسية إلى مهمات غامرة، ومع NeoTrie في المعالجة المباشرة، ومع دراسة Alobaid وزملائه في استخدام Unity/OpenXR والتحويلات. لكنه يختلف عنها في أن مساهمته الحالية تصميمية وليست تجريبية، وأن نقطة البداية هي الطالب المبتدئ واستخدام النظارة قبل الهندسة. كما يختلف عن المنصات العامة في أن المعلم لا يحتاج إلى بناء التسلسل من الصفر.</x:v>
      </x:c>
    </x:row>
    <x:row r="296" ht="15" hidden="0" customHeight="1">
      <x:c r="A296" s="21" t="str">
        <x:v>P0277</x:v>
      </x:c>
      <x:c r="B296" s="13" t="str">
        <x:v>فقرة</x:v>
      </x:c>
      <x:c r="C296" s="13" t="str">
        <x:v>MAP-089</x:v>
      </x:c>
      <x:c r="D296" s="13" t="str">
        <x:v>chapters/chapter-05/index.html#section-5-6</x:v>
      </x:c>
      <x:c r="E296" s="14" t="str">
        <x:v>5.6 حدود البحث</x:v>
      </x:c>
    </x:row>
    <x:row r="297" ht="15" hidden="0" customHeight="1">
      <x:c r="A297" s="22" t="str">
        <x:v>P0278</x:v>
      </x:c>
      <x:c r="B297" s="16" t="str">
        <x:v>فقرة</x:v>
      </x:c>
      <x:c r="C297" s="16" t="str">
        <x:v>MAP-089</x:v>
      </x:c>
      <x:c r="D297" s="16" t="str">
        <x:v>chapters/chapter-05/index.html#section-5-6</x:v>
      </x:c>
      <x:c r="E297" s="17" t="str">
        <x:v>لم يشارك طلبة أو معلمون في تقويم منظم؛ لذلك لا توجد أدلة مباشرة على سهولة الاستخدام أو الفاعلية.</x:v>
      </x:c>
    </x:row>
    <x:row r="298" ht="15" hidden="0" customHeight="1">
      <x:c r="A298" s="21" t="str">
        <x:v>P0279</x:v>
      </x:c>
      <x:c r="B298" s="13" t="str">
        <x:v>فقرة</x:v>
      </x:c>
      <x:c r="C298" s="13" t="str">
        <x:v>MAP-089</x:v>
      </x:c>
      <x:c r="D298" s="13" t="str">
        <x:v>chapters/chapter-05/index.html#section-5-6</x:v>
      </x:c>
      <x:c r="E298" s="14" t="str">
        <x:v>اختبارات الوظائف أجراها المطور، مما يزيد احتمال التحيز ويتطلب تحققًا مستقلًا.</x:v>
      </x:c>
    </x:row>
    <x:row r="299" ht="15" hidden="0" customHeight="1">
      <x:c r="A299" s="22" t="str">
        <x:v>P0280</x:v>
      </x:c>
      <x:c r="B299" s="16" t="str">
        <x:v>فقرة</x:v>
      </x:c>
      <x:c r="C299" s="16" t="str">
        <x:v>MAP-089</x:v>
      </x:c>
      <x:c r="D299" s="16" t="str">
        <x:v>chapters/chapter-05/index.html#section-5-6</x:v>
      </x:c>
      <x:c r="E299" s="17" t="str">
        <x:v>مختبر التحويلات لم يكتمل عند توثيق النسخة الحالية.</x:v>
      </x:c>
    </x:row>
    <x:row r="300" ht="15" hidden="0" customHeight="1">
      <x:c r="A300" s="21" t="str">
        <x:v>P0281</x:v>
      </x:c>
      <x:c r="B300" s="13" t="str">
        <x:v>فقرة</x:v>
      </x:c>
      <x:c r="C300" s="13" t="str">
        <x:v>MAP-089</x:v>
      </x:c>
      <x:c r="D300" s="13" t="str">
        <x:v>chapters/chapter-05/index.html#section-5-6</x:v>
      </x:c>
      <x:c r="E300" s="14" t="str">
        <x:v>بعض وظائف الأدلة والتسميات والدوران تحتاج توحيدًا وفحصًا بصريًا نهائيًا على كل مجسم.</x:v>
      </x:c>
    </x:row>
    <x:row r="301" ht="15" hidden="0" customHeight="1">
      <x:c r="A301" s="22" t="str">
        <x:v>P0282</x:v>
      </x:c>
      <x:c r="B301" s="16" t="str">
        <x:v>فقرة</x:v>
      </x:c>
      <x:c r="C301" s="16" t="str">
        <x:v>MAP-089</x:v>
      </x:c>
      <x:c r="D301" s="16" t="str">
        <x:v>chapters/chapter-05/index.html#section-5-6</x:v>
      </x:c>
      <x:c r="E301" s="17" t="str">
        <x:v>لم تُختبر نسخة منشورة مستقلة APK وفق جميع متطلبات Meta VRC.</x:v>
      </x:c>
    </x:row>
    <x:row r="302" ht="15" hidden="0" customHeight="1">
      <x:c r="A302" s="21" t="str">
        <x:v>P0283</x:v>
      </x:c>
      <x:c r="B302" s="13" t="str">
        <x:v>فقرة</x:v>
      </x:c>
      <x:c r="C302" s="13" t="str">
        <x:v>MAP-089</x:v>
      </x:c>
      <x:c r="D302" s="13" t="str">
        <x:v>chapters/chapter-05/index.html#section-5-6</x:v>
      </x:c>
      <x:c r="E302" s="14" t="str">
        <x:v>يرتبط التوثيق بجهاز Meta Quest 3S، رغم استخدام OpenXR لتوسيع القابلية.</x:v>
      </x:c>
    </x:row>
    <x:row r="303" ht="15" hidden="0" customHeight="1">
      <x:c r="A303" s="22" t="str">
        <x:v>P0284</x:v>
      </x:c>
      <x:c r="B303" s="16" t="str">
        <x:v>فقرة</x:v>
      </x:c>
      <x:c r="C303" s="16" t="str">
        <x:v>MAP-089</x:v>
      </x:c>
      <x:c r="D303" s="16" t="str">
        <x:v>chapters/chapter-05/index.html#section-5-6</x:v>
      </x:c>
      <x:c r="E303" s="17" t="str">
        <x:v>واجهة النموذج الحالي الإنجليزية جزئيًا؛ تحتاج النسخة العربية النهائية إلى مراجعة مصطلحية واتجاه RTL.</x:v>
      </x:c>
    </x:row>
    <x:row r="304" ht="24" hidden="0" customHeight="1">
      <x:c r="A304" s="21" t="str">
        <x:v>P0285</x:v>
      </x:c>
      <x:c r="B304" s="13" t="str">
        <x:v>فقرة</x:v>
      </x:c>
      <x:c r="C304" s="13" t="str">
        <x:v>MAP-089</x:v>
      </x:c>
      <x:c r="D304" s="13" t="str">
        <x:v>chapters/chapter-05/index.html#section-5-6</x:v>
      </x:c>
      <x:c r="E304" s="14" t="str">
        <x:v>لم يُقوَّم الإرشاد الصوتي العربي بعد مع عينة من الطلبة من حيث السرعة والوضوح والقبول وإمكان الوصول، ولذلك تظل فائدته التعليمية المتوقعة فرضية تصميمية لا نتيجة تجريبية.</x:v>
      </x:c>
    </x:row>
    <x:row r="305" ht="15" hidden="0" customHeight="1">
      <x:c r="A305" s="22" t="str">
        <x:v>P0286</x:v>
      </x:c>
      <x:c r="B305" s="16" t="str">
        <x:v>فقرة</x:v>
      </x:c>
      <x:c r="C305" s="16" t="str">
        <x:v>MAP-089</x:v>
      </x:c>
      <x:c r="D305" s="16" t="str">
        <x:v>chapters/chapter-05/index.html#section-5-6</x:v>
      </x:c>
      <x:c r="E305" s="17" t="str">
        <x:v>لم تُختبر الاستدامة المؤسسية أو إدارة صف كامل بعدة نظارات.</x:v>
      </x:c>
    </x:row>
    <x:row r="306" ht="15" hidden="0" customHeight="1">
      <x:c r="A306" s="21" t="str">
        <x:v>P0287</x:v>
      </x:c>
      <x:c r="B306" s="13" t="str">
        <x:v>فقرة</x:v>
      </x:c>
      <x:c r="C306" s="13" t="str">
        <x:v>MAP-090</x:v>
      </x:c>
      <x:c r="D306" s="13" t="str">
        <x:v>chapters/chapter-05/index.html#section-5-7</x:v>
      </x:c>
      <x:c r="E306" s="14" t="str">
        <x:v>5.7 الاستنتاجات</x:v>
      </x:c>
    </x:row>
    <x:row r="307" ht="15" hidden="0" customHeight="1">
      <x:c r="A307" s="22" t="str">
        <x:v>P0288</x:v>
      </x:c>
      <x:c r="B307" s="16" t="str">
        <x:v>فقرة</x:v>
      </x:c>
      <x:c r="C307" s="16" t="str">
        <x:v>MAP-090</x:v>
      </x:c>
      <x:c r="D307" s="16" t="str">
        <x:v>chapters/chapter-05/index.html#section-5-7</x:v>
      </x:c>
      <x:c r="E307" s="17" t="str">
        <x:v>المشكلة التعليمية ليست ضعف الرسم على اللوح، بل الاكتفاء به لتمثيل موضوع ثلاثي الأبعاد وديناميكي.</x:v>
      </x:c>
    </x:row>
    <x:row r="308" ht="15" hidden="0" customHeight="1">
      <x:c r="A308" s="21" t="str">
        <x:v>P0289</x:v>
      </x:c>
      <x:c r="B308" s="13" t="str">
        <x:v>فقرة</x:v>
      </x:c>
      <x:c r="C308" s="13" t="str">
        <x:v>MAP-090</x:v>
      </x:c>
      <x:c r="D308" s="13" t="str">
        <x:v>chapters/chapter-05/index.html#section-5-7</x:v>
      </x:c>
      <x:c r="E308" s="14" t="str">
        <x:v>التطبيق التعليمي الغامر يحتاج إلى تصميم تربوي يسبق البرمجة؛ فالغمر وحده ليس ضمانًا للتعلم.</x:v>
      </x:c>
    </x:row>
    <x:row r="309" ht="15" hidden="0" customHeight="1">
      <x:c r="A309" s="22" t="str">
        <x:v>P0290</x:v>
      </x:c>
      <x:c r="B309" s="16" t="str">
        <x:v>فقرة</x:v>
      </x:c>
      <x:c r="C309" s="16" t="str">
        <x:v>MAP-090</x:v>
      </x:c>
      <x:c r="D309" s="16" t="str">
        <x:v>chapters/chapter-05/index.html#section-5-7</x:v>
      </x:c>
      <x:c r="E309" s="17" t="str">
        <x:v>مرحلة التهيئة الداخلية ليست إضافة هامشية، بل شرط محتمل لاستخدام وقت التعلم في المفهوم بدل التحكم.</x:v>
      </x:c>
    </x:row>
    <x:row r="310" ht="15" hidden="0" customHeight="1">
      <x:c r="A310" s="21" t="str">
        <x:v>P0291</x:v>
      </x:c>
      <x:c r="B310" s="13" t="str">
        <x:v>فقرة</x:v>
      </x:c>
      <x:c r="C310" s="13" t="str">
        <x:v>MAP-090</x:v>
      </x:c>
      <x:c r="D310" s="13" t="str">
        <x:v>chapters/chapter-05/index.html#section-5-7</x:v>
      </x:c>
      <x:c r="E310" s="14" t="str">
        <x:v>الإعادة، والإخفاء/الإظهار، والتحكم في السرعة وظائف تربوية بقدر ما هي وظائف تقنية.</x:v>
      </x:c>
    </x:row>
    <x:row r="311" ht="15" hidden="0" customHeight="1">
      <x:c r="A311" s="22" t="str">
        <x:v>P0292</x:v>
      </x:c>
      <x:c r="B311" s="16" t="str">
        <x:v>فقرة</x:v>
      </x:c>
      <x:c r="C311" s="16" t="str">
        <x:v>MAP-090</x:v>
      </x:c>
      <x:c r="D311" s="16" t="str">
        <x:v>chapters/chapter-05/index.html#section-5-7</x:v>
      </x:c>
      <x:c r="E311" s="17" t="str">
        <x:v>الصوت العربي المرتبط بالأحداث مكوّن تربوي يوجّه ويحفّز ويتابع التقدم، ويمنع أن تصبح حرية التفاعل غاية منفصلة عن التعلم.</x:v>
      </x:c>
    </x:row>
    <x:row r="312" ht="15" hidden="0" customHeight="1">
      <x:c r="A312" s="21" t="str">
        <x:v>P0293</x:v>
      </x:c>
      <x:c r="B312" s="13" t="str">
        <x:v>فقرة</x:v>
      </x:c>
      <x:c r="C312" s="13" t="str">
        <x:v>MAP-090</x:v>
      </x:c>
      <x:c r="D312" s="13" t="str">
        <x:v>chapters/chapter-05/index.html#section-5-7</x:v>
      </x:c>
      <x:c r="E312" s="14" t="str">
        <x:v>البحث التطويري صالح أكاديميًا من دون استبانة أو عينة عندما تكون أسئلته ونتائجه متصلة بالمنتج بوضوح.</x:v>
      </x:c>
    </x:row>
    <x:row r="313" ht="15" hidden="0" customHeight="1">
      <x:c r="A313" s="22" t="str">
        <x:v>P0294</x:v>
      </x:c>
      <x:c r="B313" s="16" t="str">
        <x:v>فقرة</x:v>
      </x:c>
      <x:c r="C313" s="16" t="str">
        <x:v>MAP-090</x:v>
      </x:c>
      <x:c r="D313" s="16" t="str">
        <x:v>chapters/chapter-05/index.html#section-5-7</x:v>
      </x:c>
      <x:c r="E313" s="17" t="str">
        <x:v>الشفافية في تمييز المنجز وقيد التطوير والمستقبلي تزيد قوة البحث ولا تقللها.</x:v>
      </x:c>
    </x:row>
    <x:row r="314" ht="15" hidden="0" customHeight="1">
      <x:c r="A314" s="21" t="str">
        <x:v>P0295</x:v>
      </x:c>
      <x:c r="B314" s="13" t="str">
        <x:v>فقرة</x:v>
      </x:c>
      <x:c r="C314" s="13" t="str">
        <x:v>MAP-090</x:v>
      </x:c>
      <x:c r="D314" s="13" t="str">
        <x:v>chapters/chapter-05/index.html#section-5-7</x:v>
      </x:c>
      <x:c r="E314" s="14" t="str">
        <x:v>الإتاحة المجانية يمكن أن تكون جزءًا من معالجة الفجوة، مع بقاء الشفرة والملكية محفوظتين.</x:v>
      </x:c>
    </x:row>
    <x:row r="315" ht="15" hidden="0" customHeight="1">
      <x:c r="A315" s="22" t="str">
        <x:v>P0296</x:v>
      </x:c>
      <x:c r="B315" s="16" t="str">
        <x:v>فقرة</x:v>
      </x:c>
      <x:c r="C315" s="16" t="str">
        <x:v>MAP-091</x:v>
      </x:c>
      <x:c r="D315" s="16" t="str">
        <x:v>chapters/chapter-05/index.html#section-5-8</x:v>
      </x:c>
      <x:c r="E315" s="17" t="str">
        <x:v>5.8 التوصيات التطبيقية</x:v>
      </x:c>
    </x:row>
    <x:row r="316" ht="15" hidden="0" customHeight="1">
      <x:c r="A316" s="21" t="str">
        <x:v>P0297</x:v>
      </x:c>
      <x:c r="B316" s="13" t="str">
        <x:v>فقرة</x:v>
      </x:c>
      <x:c r="C316" s="13" t="str">
        <x:v>MAP-091</x:v>
      </x:c>
      <x:c r="D316" s="13" t="str">
        <x:v>chapters/chapter-05/index.html#section-5-8</x:v>
      </x:c>
      <x:c r="E316" s="14" t="str">
        <x:v>إكمال مختبر التحويلات بالترتيب: الانسحاب، الدوران، التكبير/التصغير، ثم مهمات تجمع بينها.</x:v>
      </x:c>
    </x:row>
    <x:row r="317" ht="15" hidden="0" customHeight="1">
      <x:c r="A317" s="22" t="str">
        <x:v>P0298</x:v>
      </x:c>
      <x:c r="B317" s="16" t="str">
        <x:v>فقرة</x:v>
      </x:c>
      <x:c r="C317" s="16" t="str">
        <x:v>MAP-091</x:v>
      </x:c>
      <x:c r="D317" s="16" t="str">
        <x:v>chapters/chapter-05/index.html#section-5-8</x:v>
      </x:c>
      <x:c r="E317" s="17" t="str">
        <x:v>عرض الجسم الأصلي وصورته، والمحاور، والقيمة، وأثر التحويل في آن واحد من دون ازدحام.</x:v>
      </x:c>
    </x:row>
    <x:row r="318" ht="15" hidden="0" customHeight="1">
      <x:c r="A318" s="21" t="str">
        <x:v>P0299</x:v>
      </x:c>
      <x:c r="B318" s="13" t="str">
        <x:v>فقرة</x:v>
      </x:c>
      <x:c r="C318" s="13" t="str">
        <x:v>MAP-091</x:v>
      </x:c>
      <x:c r="D318" s="13" t="str">
        <x:v>chapters/chapter-05/index.html#section-5-8</x:v>
      </x:c>
      <x:c r="E318" s="14" t="str">
        <x:v>إجراء اختبار قابلية استخدام مصغر بعد موافقة أخلاقية، بأسلوب الملاحظة والتفكير بصوت عالٍ قبل الاستبانة.</x:v>
      </x:c>
    </x:row>
    <x:row r="319" ht="15" hidden="0" customHeight="1">
      <x:c r="A319" s="22" t="str">
        <x:v>P0300</x:v>
      </x:c>
      <x:c r="B319" s="16" t="str">
        <x:v>فقرة</x:v>
      </x:c>
      <x:c r="C319" s="16" t="str">
        <x:v>MAP-091</x:v>
      </x:c>
      <x:c r="D319" s="16" t="str">
        <x:v>chapters/chapter-05/index.html#section-5-8</x:v>
      </x:c>
      <x:c r="E319" s="17" t="str">
        <x:v>توحيد المصطلحات العربية والإنجليزية، ومراجعة خصائص الكرة والأسطوانة التي لا تنطبق عليها مفاهيم الأوجه والحواف بالطريقة متعددة السطوح.</x:v>
      </x:c>
    </x:row>
    <x:row r="320" ht="15" hidden="0" customHeight="1">
      <x:c r="A320" s="21" t="str">
        <x:v>P0301</x:v>
      </x:c>
      <x:c r="B320" s="13" t="str">
        <x:v>فقرة</x:v>
      </x:c>
      <x:c r="C320" s="13" t="str">
        <x:v>MAP-091</x:v>
      </x:c>
      <x:c r="D320" s="13" t="str">
        <x:v>chapters/chapter-05/index.html#section-5-8</x:v>
      </x:c>
      <x:c r="E320" s="14" t="str">
        <x:v>إجراء مراجعة تربوية ولغوية لجميع المقاطع الصوتية العربية، وتوحيد نبرة الخطاب والمصطلحات وتسلسل الأفعال بينها وبين النصوص الظاهرة.</x:v>
      </x:c>
    </x:row>
    <x:row r="321" ht="15" hidden="0" customHeight="1">
      <x:c r="A321" s="22" t="str">
        <x:v>P0302</x:v>
      </x:c>
      <x:c r="B321" s="16" t="str">
        <x:v>فقرة</x:v>
      </x:c>
      <x:c r="C321" s="16" t="str">
        <x:v>MAP-091</x:v>
      </x:c>
      <x:c r="D321" s="16" t="str">
        <x:v>chapters/chapter-05/index.html#section-5-8</x:v>
      </x:c>
      <x:c r="E321" s="17" t="str">
        <x:v>إضافة تحكم مناسب في مستوى الصوت، وخيار إعادة المقطع أو إيقافه، ونص مكتوب مكافئ دعمًا لإمكان الوصول والفروق الفردية.</x:v>
      </x:c>
    </x:row>
    <x:row r="322" ht="15" hidden="0" customHeight="1">
      <x:c r="A322" s="21" t="str">
        <x:v>P0303</x:v>
      </x:c>
      <x:c r="B322" s="13" t="str">
        <x:v>فقرة</x:v>
      </x:c>
      <x:c r="C322" s="13" t="str">
        <x:v>MAP-091</x:v>
      </x:c>
      <x:c r="D322" s="13" t="str">
        <x:v>chapters/chapter-05/index.html#section-5-8</x:v>
      </x:c>
      <x:c r="E322" s="14" t="str">
        <x:v>تطبيق قائمة Meta VRC الخاصة بالأداء والوظائف والأمان والخصوصية قبل النشر.</x:v>
      </x:c>
    </x:row>
    <x:row r="323" ht="15" hidden="0" customHeight="1">
      <x:c r="A323" s="22" t="str">
        <x:v>P0304</x:v>
      </x:c>
      <x:c r="B323" s="16" t="str">
        <x:v>فقرة</x:v>
      </x:c>
      <x:c r="C323" s="16" t="str">
        <x:v>MAP-091</x:v>
      </x:c>
      <x:c r="D323" s="16" t="str">
        <x:v>chapters/chapter-05/index.html#section-5-8</x:v>
      </x:c>
      <x:c r="E323" s="17" t="str">
        <x:v>إعداد دليل معلم ودليل طالب وبروتوكول تنظيف وسلامة وجلسات قصيرة.</x:v>
      </x:c>
    </x:row>
    <x:row r="324" ht="15" hidden="0" customHeight="1">
      <x:c r="A324" s="21" t="str">
        <x:v>P0305</x:v>
      </x:c>
      <x:c r="B324" s="13" t="str">
        <x:v>فقرة</x:v>
      </x:c>
      <x:c r="C324" s="13" t="str">
        <x:v>MAP-091</x:v>
      </x:c>
      <x:c r="D324" s="13" t="str">
        <x:v>chapters/chapter-05/index.html#section-5-8</x:v>
      </x:c>
      <x:c r="E324" s="14" t="str">
        <x:v>عدم جمع بيانات شخصية في الإصدار الأول، والاكتفاء بسجل تقني مجهول عند الحاجة.</x:v>
      </x:c>
    </x:row>
    <x:row r="325" ht="15" hidden="0" customHeight="1">
      <x:c r="A325" s="22" t="str">
        <x:v>P0306</x:v>
      </x:c>
      <x:c r="B325" s="16" t="str">
        <x:v>فقرة</x:v>
      </x:c>
      <x:c r="C325" s="16" t="str">
        <x:v>MAP-091</x:v>
      </x:c>
      <x:c r="D325" s="16" t="str">
        <x:v>chapters/chapter-05/index.html#section-5-8</x:v>
      </x:c>
      <x:c r="E325" s="17" t="str">
        <x:v>إتاحة النسخة الأساسية مجانًا، وإدراج اسم الباحث والإصدار وحقوق الملكية وسياسة الخصوصية.</x:v>
      </x:c>
    </x:row>
    <x:row r="326" ht="15" hidden="0" customHeight="1">
      <x:c r="A326" s="21" t="str">
        <x:v>P0307</x:v>
      </x:c>
      <x:c r="B326" s="13" t="str">
        <x:v>فقرة</x:v>
      </x:c>
      <x:c r="C326" s="13" t="str">
        <x:v>MAP-092</x:v>
      </x:c>
      <x:c r="D326" s="13" t="str">
        <x:v>chapters/chapter-05/index.html#section-5-9</x:v>
      </x:c>
      <x:c r="E326" s="14" t="str">
        <x:v>5.9 مقترح دراسة الفاعلية المستقبلية</x:v>
      </x:c>
    </x:row>
    <x:row r="327" ht="36" hidden="0" customHeight="1">
      <x:c r="A327" s="22" t="str">
        <x:v>P0308</x:v>
      </x:c>
      <x:c r="B327" s="16" t="str">
        <x:v>فقرة</x:v>
      </x:c>
      <x:c r="C327" s="16" t="str">
        <x:v>MAP-092</x:v>
      </x:c>
      <x:c r="D327" s="16" t="str">
        <x:v>chapters/chapter-05/index.html#section-5-9</x:v>
      </x:c>
      <x:c r="E327" s="17" t="str">
        <x:v>بعد اكتمال المنتج، يمكن إجراء دراسة شبه تجريبية مستقلة تقارن التدريس المعتاد بتدريس مدمج يستخدم التطبيق. تحتاج هذه الدراسة إلى اختبار تحصيل خاص بالمفاهيم، واختبار تصور فراغي مناسب للعمر، وبروتوكول تدريس موحد، وموافقة أخلاقية، وعينة ذات قدرة إحصائية. ويمكن إضافة مقابلات أو ملاحظة لفهم آليات التعلم. ولا ينبغي نقل هذه العناصر إلى البحث الحالي بأثر رجعي.</x:v>
      </x:c>
    </x:row>
    <x:row r="328" ht="15" hidden="0" customHeight="1">
      <x:c r="A328" s="21" t="str">
        <x:v>P0309</x:v>
      </x:c>
      <x:c r="B328" s="13" t="str">
        <x:v>فقرة</x:v>
      </x:c>
      <x:c r="C328" s="13" t="str">
        <x:v>MAP-093</x:v>
      </x:c>
      <x:c r="D328" s="13" t="str">
        <x:v>chapters/chapter-05/index.html#section-5-10</x:v>
      </x:c>
      <x:c r="E328" s="14" t="str">
        <x:v>5.10 خطة التطوير والنشر</x:v>
      </x:c>
    </x:row>
    <x:row r="329" ht="15" hidden="0" customHeight="1">
      <x:c r="A329" s="22" t="str">
        <x:v>P0310</x:v>
      </x:c>
      <x:c r="B329" s="16" t="str">
        <x:v>فقرة</x:v>
      </x:c>
      <x:c r="C329" s="16" t="str">
        <x:v>MAP-093</x:v>
      </x:c>
      <x:c r="D329" s="16" t="str">
        <x:v>chapters/chapter-05/index.html#section-5-10</x:v>
      </x:c>
      <x:c r="E329" s="17" t="str">
        <x:v>جدول (8): خارطة الطريق المقترحة</x:v>
      </x:c>
    </x:row>
    <x:row r="330" ht="108" hidden="0" customHeight="1">
      <x:c r="A330" s="21" t="str">
        <x:v>T015</x:v>
      </x:c>
      <x:c r="B330" s="13" t="str">
        <x:v>جدول</x:v>
      </x:c>
      <x:c r="C330" s="13" t="str">
        <x:v>MAP-093</x:v>
      </x:c>
      <x:c r="D330" s="13" t="str">
        <x:v>chapters/chapter-05/index.html#section-5-10</x:v>
      </x:c>
      <x:c r="E330" s="14" t="str">
        <x:v>المرحلة / المخرجات / معيار الإنجاز
1. تثبيت المجسمات / توحيد Labels/Guides/Auto Rotate / نجاح متكرر على المجسمات الثلاثة بلا أخطاء Console مؤثرة.
2. التحويلات / انسحاب ودوران وتحجيم مع Reset وFeedback / إتمام مهمات محددة وقابلة للإعادة.
3. التعريب والإرشاد الصوتي / واجهة عربية/إنجليزية، واتجاه RTL، ومقاطع عربية مرتبطة بالأحداث مع نص مكافئ. / مراجعة مصطلحية ولغوية وبصرية وصوتية، وعدم التداخل، وإتاحة التحكم بالمستوى والإعادة.
4. الأداء وAPK / نسخة مستقلة على Quest 3S / استقرار ومعدل إطارات مناسب واجتياز قائمة الفحص.
5. مراجعة خبراء / تحكيم تربوي وتقني / توثيق الملاحظات والاستجابات.
6. دراسة مستخدم / قابلية استخدام ثم فاعلية / موافقات وأدوات صادقة وتحليل مستقل.
7. النشر / نسخة مجانية + دليلان + سياسة خصوصية / اجتياز متطلبات متجر Meta.</x:v>
      </x:c>
    </x:row>
    <x:row r="331" ht="15" hidden="0" customHeight="1">
      <x:c r="A331" s="22" t="str">
        <x:v>P0311</x:v>
      </x:c>
      <x:c r="B331" s="16" t="str">
        <x:v>فقرة</x:v>
      </x:c>
      <x:c r="C331" s="16" t="str">
        <x:v>MAP-093</x:v>
      </x:c>
      <x:c r="D331" s="16" t="str">
        <x:v>chapters/chapter-05/index.html#section-5-10</x:v>
      </x:c>
      <x:c r="E331" s="17" t="str"/>
    </x:row>
    <x:row r="332" ht="15" hidden="0" customHeight="1">
      <x:c r="A332" s="21" t="str">
        <x:v>P0312</x:v>
      </x:c>
      <x:c r="B332" s="13" t="str">
        <x:v>فقرة</x:v>
      </x:c>
      <x:c r="C332" s="13" t="str">
        <x:v>MAP-094</x:v>
      </x:c>
      <x:c r="D332" s="13" t="str">
        <x:v>chapters/chapter-05/index.html#section-5-11</x:v>
      </x:c>
      <x:c r="E332" s="14" t="str">
        <x:v>5.11 خاتمة</x:v>
      </x:c>
    </x:row>
    <x:row r="333" ht="48" hidden="0" customHeight="1">
      <x:c r="A333" s="22" t="str">
        <x:v>P0313</x:v>
      </x:c>
      <x:c r="B333" s="16" t="str">
        <x:v>فقرة</x:v>
      </x:c>
      <x:c r="C333" s="16" t="str">
        <x:v>MAP-094</x:v>
      </x:c>
      <x:c r="D333" s="16" t="str">
        <x:v>chapters/chapter-05/index.html#section-5-11</x:v>
      </x:c>
      <x:c r="E333" s="17" t="str">
        <x:v>انتقل المشروع من محاولة تحسين صورة المجسم إلى إعادة تصور خبرة تعلمه: الطالب يدخل المختبر، ويكوّن علاقة آمنة مع النظارة ووحدات التحكم، ويستكشف، ثم يسمع توجيهًا عربيًا في لحظة الحاجة، ويلمَس المجسم ويعيده، ويتعلم لغته وخصائصه، وبعد ذلك ينتقل إلى فهم تغيره. هذه الرحلة الموجهة - لا الجهاز ولا عنصر المتعة وحدهما - هي جوهر المساهمة؛ فالتطبيق صُمم للتعليم في المدرسة أو البيت، لا ليكون لعبة يتسلى بها الطالب من دون هدف. وقد قدم البحث أساسًا صادقًا ومتكاملًا لاستكمال التطبيق ودراسته لاحقًا من دون اختلاق عينة أو نتائج لم تحدث.</x:v>
      </x:c>
    </x:row>
    <x:row r="334" ht="15" hidden="0" customHeight="1">
      <x:c r="A334" s="21" t="str">
        <x:v>P0314</x:v>
      </x:c>
      <x:c r="B334" s="13" t="str">
        <x:v>فقرة</x:v>
      </x:c>
      <x:c r="C334" s="13" t="str">
        <x:v>MAP-094</x:v>
      </x:c>
      <x:c r="D334" s="13" t="str">
        <x:v>chapters/chapter-05/index.html#section-5-11</x:v>
      </x:c>
      <x:c r="E334" s="14" t="str"/>
    </x:row>
    <x:row r="335" ht="15" hidden="0" customHeight="1">
      <x:c r="A335" s="22" t="str">
        <x:v>P0315</x:v>
      </x:c>
      <x:c r="B335" s="16" t="str">
        <x:v>فقرة</x:v>
      </x:c>
      <x:c r="C335" s="16" t="str">
        <x:v>MAP-095</x:v>
      </x:c>
      <x:c r="D335" s="16" t="str">
        <x:v>references/index.html</x:v>
      </x:c>
      <x:c r="E335" s="17" t="str">
        <x:v>المراجع</x:v>
      </x:c>
    </x:row>
    <x:row r="336" ht="15" hidden="0" customHeight="1">
      <x:c r="A336" s="21" t="str">
        <x:v>P0316</x:v>
      </x:c>
      <x:c r="B336" s="13" t="str">
        <x:v>فقرة</x:v>
      </x:c>
      <x:c r="C336" s="13" t="str">
        <x:v>MAP-096</x:v>
      </x:c>
      <x:c r="D336" s="13" t="str">
        <x:v>references/index.html#scientific</x:v>
      </x:c>
      <x:c r="E336" s="14" t="str">
        <x:v>أولًا: المراجع العلمية</x:v>
      </x:c>
    </x:row>
    <x:row r="337" ht="24" hidden="0" customHeight="1">
      <x:c r="A337" s="22" t="str">
        <x:v>P0317</x:v>
      </x:c>
      <x:c r="B337" s="16" t="str">
        <x:v>فقرة</x:v>
      </x:c>
      <x:c r="C337" s="16" t="str">
        <x:v>MAP-096</x:v>
      </x:c>
      <x:c r="D337" s="16" t="str">
        <x:v>references/index.html#scientific</x:v>
      </x:c>
      <x:c r="E337" s="17" t="str">
        <x:v>Abutayeh, K. A., Kraishan, O. M., &amp; Kraishan, E. Q. (2022). The use of virtual and augmented reality in science and math education in Arab countries: A survey of previous research studies. Frontiers in Education, 7, 979291. https://doi.org/10.3389/feduc.2022.979291</x:v>
      </x:c>
    </x:row>
    <x:row r="338" ht="24" hidden="0" customHeight="1">
      <x:c r="A338" s="21" t="str">
        <x:v>P0318</x:v>
      </x:c>
      <x:c r="B338" s="13" t="str">
        <x:v>فقرة</x:v>
      </x:c>
      <x:c r="C338" s="13" t="str">
        <x:v>MAP-096</x:v>
      </x:c>
      <x:c r="D338" s="13" t="str">
        <x:v>references/index.html#scientific</x:v>
      </x:c>
      <x:c r="E338" s="14" t="str">
        <x:v>Alobaid, M., Young, G. W., &amp; Manzke, M. (2025). Immersive virtual reality for developing spatial skills in learning 3D transformations in computer graphics. Eurographics 2025 - Education Papers. https://doi.org/10.2312/eged.20251015</x:v>
      </x:c>
    </x:row>
    <x:row r="339" ht="15" hidden="0" customHeight="1">
      <x:c r="A339" s="22" t="str">
        <x:v>P0319</x:v>
      </x:c>
      <x:c r="B339" s="16" t="str">
        <x:v>فقرة</x:v>
      </x:c>
      <x:c r="C339" s="16" t="str">
        <x:v>MAP-096</x:v>
      </x:c>
      <x:c r="D339" s="16" t="str">
        <x:v>references/index.html#scientific</x:v>
      </x:c>
      <x:c r="E339" s="17" t="str">
        <x:v>Branch, R. M. (2009). Instructional design: The ADDIE approach. Springer. https://doi.org/10.1007/978-0-387-09506-6</x:v>
      </x:c>
    </x:row>
    <x:row r="340" ht="24" hidden="0" customHeight="1">
      <x:c r="A340" s="21" t="str">
        <x:v>P0320</x:v>
      </x:c>
      <x:c r="B340" s="13" t="str">
        <x:v>فقرة</x:v>
      </x:c>
      <x:c r="C340" s="13" t="str">
        <x:v>MAP-096</x:v>
      </x:c>
      <x:c r="D340" s="13" t="str">
        <x:v>references/index.html#scientific</x:v>
      </x:c>
      <x:c r="E340" s="14" t="str">
        <x:v>Dalgarno, B., &amp; Lee, M. J. W. (2010). What are the learning affordances of 3-D virtual environments? British Journal of Educational Technology, 41(1), 10-32. https://doi.org/10.1111/j.1467-8535.2009.01024.x</x:v>
      </x:c>
    </x:row>
    <x:row r="341" ht="24" hidden="0" customHeight="1">
      <x:c r="A341" s="22" t="str">
        <x:v>P0321</x:v>
      </x:c>
      <x:c r="B341" s="16" t="str">
        <x:v>فقرة</x:v>
      </x:c>
      <x:c r="C341" s="16" t="str">
        <x:v>MAP-096</x:v>
      </x:c>
      <x:c r="D341" s="16" t="str">
        <x:v>references/index.html#scientific</x:v>
      </x:c>
      <x:c r="E341" s="17" t="str">
        <x:v>Domínguez Vázquez, B. C., &amp; Díaz Palencia, J. L. (2024). A classroom experience for teaching and learning of high school geometry through virtual reality. Pedagogical Research, 9(3), em0210. https://doi.org/10.29333/pr/14634</x:v>
      </x:c>
    </x:row>
    <x:row r="342" ht="36" hidden="0" customHeight="1">
      <x:c r="A342" s="21" t="str">
        <x:v>P0322</x:v>
      </x:c>
      <x:c r="B342" s="13" t="str">
        <x:v>فقرة</x:v>
      </x:c>
      <x:c r="C342" s="13" t="str">
        <x:v>MAP-096</x:v>
      </x:c>
      <x:c r="D342" s="13" t="str">
        <x:v>references/index.html#scientific</x:v>
      </x:c>
      <x:c r="E342" s="14" t="str">
        <x:v>Hamilton, D., McKechnie, J., Edgerton, E., &amp; Wilson, C. (2021). Immersive virtual reality as a pedagogical tool in education: A systematic literature review of quantitative learning outcomes and experimental design. Journal of Computers in Education, 8, 1-32. https://doi.org/10.1007/s40692-020-00169-2</x:v>
      </x:c>
    </x:row>
    <x:row r="343" ht="24" hidden="0" customHeight="1">
      <x:c r="A343" s="22" t="str">
        <x:v>P0323</x:v>
      </x:c>
      <x:c r="B343" s="16" t="str">
        <x:v>فقرة</x:v>
      </x:c>
      <x:c r="C343" s="16" t="str">
        <x:v>MAP-096</x:v>
      </x:c>
      <x:c r="D343" s="16" t="str">
        <x:v>references/index.html#scientific</x:v>
      </x:c>
      <x:c r="E343" s="17" t="str">
        <x:v>Johnson-Glenberg, M. C. (2018). Immersive VR and education: Embodied design principles that include gesture and hand controls. Frontiers in Robotics and AI, 5, 81. https://doi.org/10.3389/frobt.2018.00081</x:v>
      </x:c>
    </x:row>
    <x:row r="344" ht="15" hidden="0" customHeight="1">
      <x:c r="A344" s="21" t="str">
        <x:v>P0324</x:v>
      </x:c>
      <x:c r="B344" s="13" t="str">
        <x:v>فقرة</x:v>
      </x:c>
      <x:c r="C344" s="13" t="str">
        <x:v>MAP-096</x:v>
      </x:c>
      <x:c r="D344" s="13" t="str">
        <x:v>references/index.html#scientific</x:v>
      </x:c>
      <x:c r="E344" s="14" t="str">
        <x:v>Kolb, D. A. (1984). Experiential learning: Experience as the source of learning and development. Prentice Hall.</x:v>
      </x:c>
    </x:row>
    <x:row r="345" ht="36" hidden="0" customHeight="1">
      <x:c r="A345" s="22" t="str">
        <x:v>P0325</x:v>
      </x:c>
      <x:c r="B345" s="16" t="str">
        <x:v>فقرة</x:v>
      </x:c>
      <x:c r="C345" s="16" t="str">
        <x:v>MAP-096</x:v>
      </x:c>
      <x:c r="D345" s="16" t="str">
        <x:v>references/index.html#scientific</x:v>
      </x:c>
      <x:c r="E345" s="17" t="str">
        <x:v>Makransky, G., &amp; Petersen, G. B. (2021). The cognitive affective model of immersive learning (CAMIL): A theoretical research-based model of learning in immersive virtual reality. Educational Psychology Review, 33, 937-958. https://doi.org/10.1007/s10648-020-09586-2</x:v>
      </x:c>
    </x:row>
    <x:row r="346" ht="15" hidden="0" customHeight="1">
      <x:c r="A346" s="21" t="str">
        <x:v>P0326</x:v>
      </x:c>
      <x:c r="B346" s="13" t="str">
        <x:v>فقرة</x:v>
      </x:c>
      <x:c r="C346" s="13" t="str">
        <x:v>MAP-096</x:v>
      </x:c>
      <x:c r="D346" s="13" t="str">
        <x:v>references/index.html#scientific</x:v>
      </x:c>
      <x:c r="E346" s="14" t="str">
        <x:v>Mayer, R. E. (2009). Multimedia learning (2nd ed.). Cambridge University Press.</x:v>
      </x:c>
    </x:row>
    <x:row r="347" ht="36" hidden="0" customHeight="1">
      <x:c r="A347" s="22" t="str">
        <x:v>P0327</x:v>
      </x:c>
      <x:c r="B347" s="16" t="str">
        <x:v>فقرة</x:v>
      </x:c>
      <x:c r="C347" s="16" t="str">
        <x:v>MAP-096</x:v>
      </x:c>
      <x:c r="D347" s="16" t="str">
        <x:v>references/index.html#scientific</x:v>
      </x:c>
      <x:c r="E347" s="17" t="str">
        <x:v>Merchant, Z., Goetz, E. T., Cifuentes, L., Keeney-Kennicutt, W., &amp; Davis, T. J. (2014). Effectiveness of virtual reality-based instruction on students' learning outcomes in K-12 and higher education: A meta-analysis. Computers &amp; Education, 70, 29-40. https://doi.org/10.1016/j.compedu.2013.07.033</x:v>
      </x:c>
    </x:row>
    <x:row r="348" ht="36" hidden="0" customHeight="1">
      <x:c r="A348" s="21" t="str">
        <x:v>P0328</x:v>
      </x:c>
      <x:c r="B348" s="13" t="str">
        <x:v>فقرة</x:v>
      </x:c>
      <x:c r="C348" s="13" t="str">
        <x:v>MAP-096</x:v>
      </x:c>
      <x:c r="D348" s="13" t="str">
        <x:v>references/index.html#scientific</x:v>
      </x:c>
      <x:c r="E348" s="14" t="str">
        <x:v>Meyer, O. A., Omdahl, M. K., &amp; Makransky, G. (2019). Investigating the effect of pre-training when learning through immersive virtual reality and video: A media and methods experiment. Computers &amp; Education, 140, 103603. https://doi.org/10.1016/j.compedu.2019.103603</x:v>
      </x:c>
    </x:row>
    <x:row r="349" ht="24" hidden="0" customHeight="1">
      <x:c r="A349" s="22" t="str">
        <x:v>P0329</x:v>
      </x:c>
      <x:c r="B349" s="16" t="str">
        <x:v>فقرة</x:v>
      </x:c>
      <x:c r="C349" s="16" t="str">
        <x:v>MAP-096</x:v>
      </x:c>
      <x:c r="D349" s="16" t="str">
        <x:v>references/index.html#scientific</x:v>
      </x:c>
      <x:c r="E349" s="17" t="str">
        <x:v>Parong, J., &amp; Mayer, R. E. (2018). Learning science in immersive virtual reality. Journal of Educational Psychology, 110(6), 785-797. https://doi.org/10.1037/edu0000241</x:v>
      </x:c>
    </x:row>
    <x:row r="350" ht="36" hidden="0" customHeight="1">
      <x:c r="A350" s="21" t="str">
        <x:v>P0330</x:v>
      </x:c>
      <x:c r="B350" s="13" t="str">
        <x:v>فقرة</x:v>
      </x:c>
      <x:c r="C350" s="13" t="str">
        <x:v>MAP-096</x:v>
      </x:c>
      <x:c r="D350" s="13" t="str">
        <x:v>references/index.html#scientific</x:v>
      </x:c>
      <x:c r="E350" s="14" t="str">
        <x:v>Radianti, J., Majchrzak, T. A., Fromm, J., &amp; Wohlgenannt, I. (2020). A systematic review of immersive virtual reality applications for higher education: Design elements, lessons learned, and research agenda. Computers &amp; Education, 147, 103778. https://doi.org/10.1016/j.compedu.2019.103778</x:v>
      </x:c>
    </x:row>
    <x:row r="351" ht="15" hidden="0" customHeight="1">
      <x:c r="A351" s="22" t="str">
        <x:v>P0331</x:v>
      </x:c>
      <x:c r="B351" s="16" t="str">
        <x:v>فقرة</x:v>
      </x:c>
      <x:c r="C351" s="16" t="str">
        <x:v>MAP-096</x:v>
      </x:c>
      <x:c r="D351" s="16" t="str">
        <x:v>references/index.html#scientific</x:v>
      </x:c>
      <x:c r="E351" s="17" t="str">
        <x:v>Richey, R. C., &amp; Klein, J. D. (2007). Design and development research: Methods, strategies, and issues. Lawrence Erlbaum Associates.</x:v>
      </x:c>
    </x:row>
    <x:row r="352" ht="24" hidden="0" customHeight="1">
      <x:c r="A352" s="21" t="str">
        <x:v>P0332</x:v>
      </x:c>
      <x:c r="B352" s="13" t="str">
        <x:v>فقرة</x:v>
      </x:c>
      <x:c r="C352" s="13" t="str">
        <x:v>MAP-096</x:v>
      </x:c>
      <x:c r="D352" s="13" t="str">
        <x:v>references/index.html#scientific</x:v>
      </x:c>
      <x:c r="E352" s="14" t="str">
        <x:v>Rodríguez, J. L., Romero, I., &amp; Codina, A. (2021). The influence of NeoTrie VR's immersive virtual reality on the teaching and learning of geometry. Mathematics, 9(19), 2411. https://doi.org/10.3390/math9192411</x:v>
      </x:c>
    </x:row>
    <x:row r="353" ht="24" hidden="0" customHeight="1">
      <x:c r="A353" s="22" t="str">
        <x:v>P0333</x:v>
      </x:c>
      <x:c r="B353" s="16" t="str">
        <x:v>فقرة</x:v>
      </x:c>
      <x:c r="C353" s="16" t="str">
        <x:v>MAP-096</x:v>
      </x:c>
      <x:c r="D353" s="16" t="str">
        <x:v>references/index.html#scientific</x:v>
      </x:c>
      <x:c r="E353" s="17" t="str">
        <x:v>Slater, M., &amp; Wilbur, S. (1997). A framework for immersive virtual environments (FIVE): Speculations on the role of presence in virtual environments. Presence, 6(6), 603-616. https://doi.org/10.1162/pres.1997.6.6.603</x:v>
      </x:c>
    </x:row>
    <x:row r="354" ht="24" hidden="0" customHeight="1">
      <x:c r="A354" s="21" t="str">
        <x:v>P0334</x:v>
      </x:c>
      <x:c r="B354" s="13" t="str">
        <x:v>فقرة</x:v>
      </x:c>
      <x:c r="C354" s="13" t="str">
        <x:v>MAP-096</x:v>
      </x:c>
      <x:c r="D354" s="13" t="str">
        <x:v>references/index.html#scientific</x:v>
      </x:c>
      <x:c r="E354" s="14" t="str">
        <x:v>Su, Y.-S., Cheng, H.-W., &amp; Lai, C.-F. (2022). Study of virtual reality immersive technology enhanced mathematics geometry learning. Frontiers in Psychology, 13, 760418. https://doi.org/10.3389/fpsyg.2022.760418</x:v>
      </x:c>
    </x:row>
    <x:row r="355" ht="24" hidden="0" customHeight="1">
      <x:c r="A355" s="22" t="str">
        <x:v>P0335</x:v>
      </x:c>
      <x:c r="B355" s="16" t="str">
        <x:v>فقرة</x:v>
      </x:c>
      <x:c r="C355" s="16" t="str">
        <x:v>MAP-096</x:v>
      </x:c>
      <x:c r="D355" s="16" t="str">
        <x:v>references/index.html#scientific</x:v>
      </x:c>
      <x:c r="E355" s="17" t="str">
        <x:v>Sweller, J. (1988). Cognitive load during problem solving: Effects on learning. Cognitive Science, 12(2), 257-285. https://doi.org/10.1207/s15516709cog1202_4</x:v>
      </x:c>
    </x:row>
    <x:row r="356" ht="24" hidden="0" customHeight="1">
      <x:c r="A356" s="21" t="str">
        <x:v>P0336</x:v>
      </x:c>
      <x:c r="B356" s="13" t="str">
        <x:v>فقرة</x:v>
      </x:c>
      <x:c r="C356" s="13" t="str">
        <x:v>MAP-096</x:v>
      </x:c>
      <x:c r="D356" s="13" t="str">
        <x:v>references/index.html#scientific</x:v>
      </x:c>
      <x:c r="E356" s="14" t="str">
        <x:v>Uttal, D. H., &amp; Cohen, C. A. (2012). Spatial thinking and STEM education: When, why, and how? Psychology of Learning and Motivation, 57, 147-181. https://doi.org/10.1016/B978-0-12-394293-7.00004-2</x:v>
      </x:c>
    </x:row>
    <x:row r="357" ht="24" hidden="0" customHeight="1">
      <x:c r="A357" s="22" t="str">
        <x:v>P0337</x:v>
      </x:c>
      <x:c r="B357" s="16" t="str">
        <x:v>فقرة</x:v>
      </x:c>
      <x:c r="C357" s="16" t="str">
        <x:v>MAP-096</x:v>
      </x:c>
      <x:c r="D357" s="16" t="str">
        <x:v>references/index.html#scientific</x:v>
      </x:c>
      <x:c r="E357" s="17" t="str">
        <x:v>Uttal, D. H., Meadow, N. G., Tipton, E., Hand, L. L., Alden, A. R., Warren, C., &amp; Newcombe, N. S. (2013). The malleability of spatial skills: A meta-analysis of training studies. Psychological Bulletin, 139(2), 352-402. https://doi.org/10.1037/a0028446</x:v>
      </x:c>
    </x:row>
    <x:row r="358" ht="15" hidden="0" customHeight="1">
      <x:c r="A358" s="21" t="str">
        <x:v>P0338</x:v>
      </x:c>
      <x:c r="B358" s="13" t="str">
        <x:v>فقرة</x:v>
      </x:c>
      <x:c r="C358" s="13" t="str">
        <x:v>MAP-097</x:v>
      </x:c>
      <x:c r="D358" s="13" t="str">
        <x:v>references/index.html#technical</x:v>
      </x:c>
      <x:c r="E358" s="14" t="str">
        <x:v>ثانيًا: الوثائق التقنية وصفحات المنتجات</x:v>
      </x:c>
    </x:row>
    <x:row r="359" ht="24" hidden="0" customHeight="1">
      <x:c r="A359" s="22" t="str">
        <x:v>P0339</x:v>
      </x:c>
      <x:c r="B359" s="16" t="str">
        <x:v>فقرة</x:v>
      </x:c>
      <x:c r="C359" s="16" t="str">
        <x:v>MAP-097</x:v>
      </x:c>
      <x:c r="D359" s="16" t="str">
        <x:v>references/index.html#technical</x:v>
      </x:c>
      <x:c r="E359" s="17" t="str">
        <x:v>Unity Technologies. (2026a). OpenXR Plugin - Unity Manual. https://docs.unity3d.com/6000.0/Documentation/Manual/com.unity.xr.openxr.html</x:v>
      </x:c>
    </x:row>
    <x:row r="360" ht="24" hidden="0" customHeight="1">
      <x:c r="A360" s="21" t="str">
        <x:v>P0340</x:v>
      </x:c>
      <x:c r="B360" s="13" t="str">
        <x:v>فقرة</x:v>
      </x:c>
      <x:c r="C360" s="13" t="str">
        <x:v>MAP-097</x:v>
      </x:c>
      <x:c r="D360" s="13" t="str">
        <x:v>references/index.html#technical</x:v>
      </x:c>
      <x:c r="E360" s="14" t="str">
        <x:v>Unity Technologies. (2026b). Locomotion overview - XR Interaction Toolkit. https://docs.unity3d.com/Packages/com.unity.xr.interaction.toolkit@3.0/manual/locomotion.html</x:v>
      </x:c>
    </x:row>
    <x:row r="361" ht="15" hidden="0" customHeight="1">
      <x:c r="A361" s="22" t="str">
        <x:v>P0341</x:v>
      </x:c>
      <x:c r="B361" s="16" t="str">
        <x:v>فقرة</x:v>
      </x:c>
      <x:c r="C361" s="16" t="str">
        <x:v>MAP-097</x:v>
      </x:c>
      <x:c r="D361" s="16" t="str">
        <x:v>references/index.html#technical</x:v>
      </x:c>
      <x:c r="E361" s="17" t="str">
        <x:v>Unity Technologies. (2026c). XR Interaction Toolkit. https://docs.unity3d.com/Packages/com.unity.xr.interaction.toolkit@3.0/manual/</x:v>
      </x:c>
    </x:row>
    <x:row r="362" ht="15" hidden="0" customHeight="1">
      <x:c r="A362" s="21" t="str">
        <x:v>P0342</x:v>
      </x:c>
      <x:c r="B362" s="13" t="str">
        <x:v>فقرة</x:v>
      </x:c>
      <x:c r="C362" s="13" t="str">
        <x:v>MAP-097</x:v>
      </x:c>
      <x:c r="D362" s="13" t="str">
        <x:v>references/index.html#technical</x:v>
      </x:c>
      <x:c r="E362" s="14" t="str">
        <x:v>Meta. (2026a). Submitting your app. https://developers.meta.com/horizon/resources/publish-submit/</x:v>
      </x:c>
    </x:row>
    <x:row r="363" ht="15" hidden="0" customHeight="1">
      <x:c r="A363" s="22" t="str">
        <x:v>P0343</x:v>
      </x:c>
      <x:c r="B363" s="16" t="str">
        <x:v>فقرة</x:v>
      </x:c>
      <x:c r="C363" s="16" t="str">
        <x:v>MAP-097</x:v>
      </x:c>
      <x:c r="D363" s="16" t="str">
        <x:v>references/index.html#technical</x:v>
      </x:c>
      <x:c r="E363" s="17" t="str">
        <x:v>Meta. (2026b). Meta Quest Virtual Reality Check (VRC) guidelines. https://developers.meta.com/horizon/resources/publish-quest-req/</x:v>
      </x:c>
    </x:row>
    <x:row r="364" ht="15" hidden="0" customHeight="1">
      <x:c r="A364" s="21" t="str">
        <x:v>P0344</x:v>
      </x:c>
      <x:c r="B364" s="13" t="str">
        <x:v>فقرة</x:v>
      </x:c>
      <x:c r="C364" s="13" t="str">
        <x:v>MAP-097</x:v>
      </x:c>
      <x:c r="D364" s="13" t="str">
        <x:v>references/index.html#technical</x:v>
      </x:c>
      <x:c r="E364" s="14" t="str">
        <x:v>Meta. (2026c). Prepare your app for publishing. https://developers.meta.com/horizon/documentation/unity/unity-prepare-for-publish/</x:v>
      </x:c>
    </x:row>
    <x:row r="365" ht="15" hidden="0" customHeight="1">
      <x:c r="A365" s="22" t="str">
        <x:v>P0345</x:v>
      </x:c>
      <x:c r="B365" s="16" t="str">
        <x:v>فقرة</x:v>
      </x:c>
      <x:c r="C365" s="16" t="str">
        <x:v>MAP-097</x:v>
      </x:c>
      <x:c r="D365" s="16" t="str">
        <x:v>references/index.html#technical</x:v>
      </x:c>
      <x:c r="E365" s="17" t="str">
        <x:v>Meta. (2026d). NeoTrie VR on Meta Quest. https://www.meta.com/experiences/neotrie-vr/4121567677901213/</x:v>
      </x:c>
    </x:row>
    <x:row r="366" ht="15" hidden="0" customHeight="1">
      <x:c r="A366" s="21" t="str">
        <x:v>P0346</x:v>
      </x:c>
      <x:c r="B366" s="13" t="str">
        <x:v>فقرة</x:v>
      </x:c>
      <x:c r="C366" s="13" t="str">
        <x:v>MAP-097</x:v>
      </x:c>
      <x:c r="D366" s="13" t="str">
        <x:v>references/index.html#technical</x:v>
      </x:c>
      <x:c r="E366" s="14" t="str">
        <x:v>Meta. (2026e). Construct3D on Meta Quest (Early Access). https://www.meta.com/experiences/construct3d/26826040057087827/</x:v>
      </x:c>
    </x:row>
    <x:row r="367" ht="15" hidden="0" customHeight="1">
      <x:c r="A367" s="22" t="str">
        <x:v>P0347</x:v>
      </x:c>
      <x:c r="B367" s="16" t="str">
        <x:v>فقرة</x:v>
      </x:c>
      <x:c r="C367" s="16" t="str">
        <x:v>MAP-097</x:v>
      </x:c>
      <x:c r="D367" s="16" t="str">
        <x:v>references/index.html#technical</x:v>
      </x:c>
      <x:c r="E367" s="17" t="str">
        <x:v>Valve. (2026). NeoTrie VR Multiplayer on Steam. https://store.steampowered.com/app/878620/Neotrie_VR_Multiplayer/</x:v>
      </x:c>
    </x:row>
    <x:row r="368" ht="15" hidden="0" customHeight="1">
      <x:c r="A368" s="21" t="str">
        <x:v>P0348</x:v>
      </x:c>
      <x:c r="B368" s="13" t="str">
        <x:v>فقرة</x:v>
      </x:c>
      <x:c r="C368" s="13" t="str">
        <x:v>MAP-097</x:v>
      </x:c>
      <x:c r="D368" s="13" t="str">
        <x:v>references/index.html#technical</x:v>
      </x:c>
      <x:c r="E368" s="14" t="str">
        <x:v>Valve. (2026). Calcflow on Steam. https://store.steampowered.com/app/547280/Calcflow/</x:v>
      </x:c>
    </x:row>
    <x:row r="369" ht="15" hidden="0" customHeight="1">
      <x:c r="A369" s="22" t="str">
        <x:v>P0349</x:v>
      </x:c>
      <x:c r="B369" s="16" t="str">
        <x:v>فقرة</x:v>
      </x:c>
      <x:c r="C369" s="16" t="str">
        <x:v>MAP-097</x:v>
      </x:c>
      <x:c r="D369" s="16" t="str">
        <x:v>references/index.html#technical</x:v>
      </x:c>
      <x:c r="E369" s="17" t="str">
        <x:v>Delightex. (2026). Delightex Edu. https://www.delightex.com/edu</x:v>
      </x:c>
    </x:row>
    <x:row r="370" ht="15" hidden="0" customHeight="1">
      <x:c r="A370" s="21" t="str">
        <x:v>P0350</x:v>
      </x:c>
      <x:c r="B370" s="13" t="str">
        <x:v>فقرة</x:v>
      </x:c>
      <x:c r="C370" s="13" t="str">
        <x:v>MAP-097</x:v>
      </x:c>
      <x:c r="D370" s="13" t="str">
        <x:v>references/index.html#technical</x:v>
      </x:c>
      <x:c r="E370" s="14" t="str"/>
    </x:row>
    <x:row r="371" ht="15" hidden="0" customHeight="1">
      <x:c r="A371" s="22" t="str">
        <x:v>P0351</x:v>
      </x:c>
      <x:c r="B371" s="16" t="str">
        <x:v>فقرة</x:v>
      </x:c>
      <x:c r="C371" s="16" t="str">
        <x:v>MAP-098</x:v>
      </x:c>
      <x:c r="D371" s="16" t="str">
        <x:v>appendices/index.html</x:v>
      </x:c>
      <x:c r="E371" s="17" t="str">
        <x:v>الملاحق</x:v>
      </x:c>
    </x:row>
    <x:row r="372" ht="15" hidden="0" customHeight="1">
      <x:c r="A372" s="21" t="str">
        <x:v>P0352</x:v>
      </x:c>
      <x:c r="B372" s="13" t="str">
        <x:v>فقرة</x:v>
      </x:c>
      <x:c r="C372" s="13" t="str">
        <x:v>MAP-099</x:v>
      </x:c>
      <x:c r="D372" s="13" t="str">
        <x:v>appendices/appendix-a/index.html</x:v>
      </x:c>
      <x:c r="E372" s="14" t="str">
        <x:v>الملحق (أ): قائمة المتطلبات التربوية المختصرة</x:v>
      </x:c>
    </x:row>
    <x:row r="373" ht="15" hidden="0" customHeight="1">
      <x:c r="A373" s="22" t="str">
        <x:v>P0353</x:v>
      </x:c>
      <x:c r="B373" s="16" t="str">
        <x:v>فقرة</x:v>
      </x:c>
      <x:c r="C373" s="16" t="str">
        <x:v>MAP-099</x:v>
      </x:c>
      <x:c r="D373" s="16" t="str">
        <x:v>appendices/appendix-a/index.html</x:v>
      </x:c>
      <x:c r="E373" s="17" t="str">
        <x:v>يبدأ التطبيق بتهيئة داخلية ولا يفترض خبرة سابقة بالنظارة.</x:v>
      </x:c>
    </x:row>
    <x:row r="374" ht="15" hidden="0" customHeight="1">
      <x:c r="A374" s="21" t="str">
        <x:v>P0354</x:v>
      </x:c>
      <x:c r="B374" s="13" t="str">
        <x:v>فقرة</x:v>
      </x:c>
      <x:c r="C374" s="13" t="str">
        <x:v>MAP-099</x:v>
      </x:c>
      <x:c r="D374" s="13" t="str">
        <x:v>appendices/appendix-a/index.html</x:v>
      </x:c>
      <x:c r="E374" s="14" t="str">
        <x:v>يستطيع الطالب النظر والحركة والدوران والإمساك والإفلات والإعادة.</x:v>
      </x:c>
    </x:row>
    <x:row r="375" ht="15" hidden="0" customHeight="1">
      <x:c r="A375" s="22" t="str">
        <x:v>P0355</x:v>
      </x:c>
      <x:c r="B375" s="16" t="str">
        <x:v>فقرة</x:v>
      </x:c>
      <x:c r="C375" s="16" t="str">
        <x:v>MAP-099</x:v>
      </x:c>
      <x:c r="D375" s="16" t="str">
        <x:v>appendices/appendix-a/index.html</x:v>
      </x:c>
      <x:c r="E375" s="17" t="str">
        <x:v>تظهر التعليمات على دفعات قصيرة وبخط مقروء من مسافة مناسبة.</x:v>
      </x:c>
    </x:row>
    <x:row r="376" ht="15" hidden="0" customHeight="1">
      <x:c r="A376" s="21" t="str">
        <x:v>P0356</x:v>
      </x:c>
      <x:c r="B376" s="13" t="str">
        <x:v>فقرة</x:v>
      </x:c>
      <x:c r="C376" s="13" t="str">
        <x:v>MAP-099</x:v>
      </x:c>
      <x:c r="D376" s="13" t="str">
        <x:v>appendices/appendix-a/index.html</x:v>
      </x:c>
      <x:c r="E376" s="14" t="str">
        <x:v>ترافق الأحداث التعليمية توجيهات صوتية عربية قصيرة وواضحة، ولا تتداخل المقاطع ولا تكرر النصوص المرئية كاملة.</x:v>
      </x:c>
    </x:row>
    <x:row r="377" ht="15" hidden="0" customHeight="1">
      <x:c r="A377" s="22" t="str">
        <x:v>P0357</x:v>
      </x:c>
      <x:c r="B377" s="16" t="str">
        <x:v>فقرة</x:v>
      </x:c>
      <x:c r="C377" s="16" t="str">
        <x:v>MAP-099</x:v>
      </x:c>
      <x:c r="D377" s="16" t="str">
        <x:v>appendices/appendix-a/index.html</x:v>
      </x:c>
      <x:c r="E377" s="17" t="str">
        <x:v>تُعرض المجسمات الأساسية واحدًا تلو الآخر مع معلومات صحيحة رياضيًا.</x:v>
      </x:c>
    </x:row>
    <x:row r="378" ht="15" hidden="0" customHeight="1">
      <x:c r="A378" s="21" t="str">
        <x:v>P0358</x:v>
      </x:c>
      <x:c r="B378" s="13" t="str">
        <x:v>فقرة</x:v>
      </x:c>
      <x:c r="C378" s="13" t="str">
        <x:v>MAP-099</x:v>
      </x:c>
      <x:c r="D378" s="13" t="str">
        <x:v>appendices/appendix-a/index.html</x:v>
      </x:c>
      <x:c r="E378" s="14" t="str">
        <x:v>يمكن إظهار التسميات والأدلة وإخفاؤها.</x:v>
      </x:c>
    </x:row>
    <x:row r="379" ht="15" hidden="0" customHeight="1">
      <x:c r="A379" s="22" t="str">
        <x:v>P0359</x:v>
      </x:c>
      <x:c r="B379" s="16" t="str">
        <x:v>فقرة</x:v>
      </x:c>
      <x:c r="C379" s="16" t="str">
        <x:v>MAP-099</x:v>
      </x:c>
      <x:c r="D379" s="16" t="str">
        <x:v>appendices/appendix-a/index.html</x:v>
      </x:c>
      <x:c r="E379" s="17" t="str">
        <x:v>يستطيع الطالب إعادة الجسم إلى حالته الأصلية في أي وقت.</x:v>
      </x:c>
    </x:row>
    <x:row r="380" ht="15" hidden="0" customHeight="1">
      <x:c r="A380" s="21" t="str">
        <x:v>P0360</x:v>
      </x:c>
      <x:c r="B380" s="13" t="str">
        <x:v>فقرة</x:v>
      </x:c>
      <x:c r="C380" s="13" t="str">
        <x:v>MAP-099</x:v>
      </x:c>
      <x:c r="D380" s="13" t="str">
        <x:v>appendices/appendix-a/index.html</x:v>
      </x:c>
      <x:c r="E380" s="14" t="str">
        <x:v>تُفصل عمليات الانسحاب والدوران والتحجيم قبل دمجها.</x:v>
      </x:c>
    </x:row>
    <x:row r="381" ht="15" hidden="0" customHeight="1">
      <x:c r="A381" s="22" t="str">
        <x:v>P0361</x:v>
      </x:c>
      <x:c r="B381" s="16" t="str">
        <x:v>فقرة</x:v>
      </x:c>
      <x:c r="C381" s="16" t="str">
        <x:v>MAP-099</x:v>
      </x:c>
      <x:c r="D381" s="16" t="str">
        <x:v>appendices/appendix-a/index.html</x:v>
      </x:c>
      <x:c r="E381" s="17" t="str">
        <x:v>توفر البيئة خيار حركة مريحًا وتمنع الإجبار على حركة تسبب الدوار.</x:v>
      </x:c>
    </x:row>
    <x:row r="382" ht="15" hidden="0" customHeight="1">
      <x:c r="A382" s="21" t="str">
        <x:v>P0362</x:v>
      </x:c>
      <x:c r="B382" s="13" t="str">
        <x:v>فقرة</x:v>
      </x:c>
      <x:c r="C382" s="13" t="str">
        <x:v>MAP-099</x:v>
      </x:c>
      <x:c r="D382" s="13" t="str">
        <x:v>appendices/appendix-a/index.html</x:v>
      </x:c>
      <x:c r="E382" s="14" t="str">
        <x:v>لا تُجمع بيانات شخصية دون ضرورة وموافقة.</x:v>
      </x:c>
    </x:row>
    <x:row r="383" ht="15" hidden="0" customHeight="1">
      <x:c r="A383" s="22" t="str">
        <x:v>P0363</x:v>
      </x:c>
      <x:c r="B383" s="16" t="str">
        <x:v>فقرة</x:v>
      </x:c>
      <x:c r="C383" s="16" t="str">
        <x:v>MAP-099</x:v>
      </x:c>
      <x:c r="D383" s="16" t="str">
        <x:v>appendices/appendix-a/index.html</x:v>
      </x:c>
      <x:c r="E383" s="17" t="str">
        <x:v>توضح الوثائق ما هو منجز وما هو قيد التطوير.</x:v>
      </x:c>
    </x:row>
    <x:row r="384" ht="15" hidden="0" customHeight="1">
      <x:c r="A384" s="21" t="str">
        <x:v>P0364</x:v>
      </x:c>
      <x:c r="B384" s="13" t="str">
        <x:v>فقرة</x:v>
      </x:c>
      <x:c r="C384" s="13" t="str">
        <x:v>MAP-100</x:v>
      </x:c>
      <x:c r="D384" s="13" t="str">
        <x:v>appendices/appendix-b/index.html</x:v>
      </x:c>
      <x:c r="E384" s="14" t="str">
        <x:v>الملحق (ب): بروتوكول اختبار وظيفي</x:v>
      </x:c>
    </x:row>
    <x:row r="385" ht="15" hidden="0" customHeight="1">
      <x:c r="A385" s="22" t="str">
        <x:v>P0365</x:v>
      </x:c>
      <x:c r="B385" s="16" t="str">
        <x:v>فقرة</x:v>
      </x:c>
      <x:c r="C385" s="16" t="str">
        <x:v>MAP-100</x:v>
      </x:c>
      <x:c r="D385" s="16" t="str">
        <x:v>appendices/appendix-b/index.html</x:v>
      </x:c>
      <x:c r="E385" s="17" t="str">
        <x:v>شغّل Unity وافتح المشهد المستهدف، ثم تحقق من عدم وجود أخطاء حمراء مؤثرة في Console.</x:v>
      </x:c>
    </x:row>
    <x:row r="386" ht="15" hidden="0" customHeight="1">
      <x:c r="A386" s="21" t="str">
        <x:v>P0366</x:v>
      </x:c>
      <x:c r="B386" s="13" t="str">
        <x:v>فقرة</x:v>
      </x:c>
      <x:c r="C386" s="13" t="str">
        <x:v>MAP-100</x:v>
      </x:c>
      <x:c r="D386" s="13" t="str">
        <x:v>appendices/appendix-b/index.html</x:v>
      </x:c>
      <x:c r="E386" s="14" t="str">
        <x:v>اتصل بالنظارة وتحقق من حالة Connected/Active.</x:v>
      </x:c>
    </x:row>
    <x:row r="387" ht="15" hidden="0" customHeight="1">
      <x:c r="A387" s="22" t="str">
        <x:v>P0367</x:v>
      </x:c>
      <x:c r="B387" s="16" t="str">
        <x:v>فقرة</x:v>
      </x:c>
      <x:c r="C387" s="16" t="str">
        <x:v>MAP-100</x:v>
      </x:c>
      <x:c r="D387" s="16" t="str">
        <x:v>appendices/appendix-b/index.html</x:v>
      </x:c>
      <x:c r="E387" s="17" t="str">
        <x:v>اضغط Play وتحقق من تتبع الرأس واليدين وارتفاع الكاميرا.</x:v>
      </x:c>
    </x:row>
    <x:row r="388" ht="15" hidden="0" customHeight="1">
      <x:c r="A388" s="21" t="str">
        <x:v>P0368</x:v>
      </x:c>
      <x:c r="B388" s="13" t="str">
        <x:v>فقرة</x:v>
      </x:c>
      <x:c r="C388" s="13" t="str">
        <x:v>MAP-100</x:v>
      </x:c>
      <x:c r="D388" s="13" t="str">
        <x:v>appendices/appendix-b/index.html</x:v>
      </x:c>
      <x:c r="E388" s="14" t="str">
        <x:v>نفذ Teleport وSnap Turn وتحقق من ثبات الارتفاع.</x:v>
      </x:c>
    </x:row>
    <x:row r="389" ht="15" hidden="0" customHeight="1">
      <x:c r="A389" s="22" t="str">
        <x:v>P0369</x:v>
      </x:c>
      <x:c r="B389" s="16" t="str">
        <x:v>فقرة</x:v>
      </x:c>
      <x:c r="C389" s="16" t="str">
        <x:v>MAP-100</x:v>
      </x:c>
      <x:c r="D389" s="16" t="str">
        <x:v>appendices/appendix-b/index.html</x:v>
      </x:c>
      <x:c r="E389" s="17" t="str">
        <x:v>أمسك كل مجسم وحركه وأفلته، ثم استخدم Reset.</x:v>
      </x:c>
    </x:row>
    <x:row r="390" ht="15" hidden="0" customHeight="1">
      <x:c r="A390" s="21" t="str">
        <x:v>P0370</x:v>
      </x:c>
      <x:c r="B390" s="13" t="str">
        <x:v>فقرة</x:v>
      </x:c>
      <x:c r="C390" s="13" t="str">
        <x:v>MAP-100</x:v>
      </x:c>
      <x:c r="D390" s="13" t="str">
        <x:v>appendices/appendix-b/index.html</x:v>
      </x:c>
      <x:c r="E390" s="14" t="str">
        <x:v>نفذ تسلسل Intro → Tasks → Success → Enter Solids Lab كاملًا.</x:v>
      </x:c>
    </x:row>
    <x:row r="391" ht="15" hidden="0" customHeight="1">
      <x:c r="A391" s="22" t="str">
        <x:v>P0371</x:v>
      </x:c>
      <x:c r="B391" s="16" t="str">
        <x:v>فقرة</x:v>
      </x:c>
      <x:c r="C391" s="16" t="str">
        <x:v>MAP-100</x:v>
      </x:c>
      <x:c r="D391" s="16" t="str">
        <x:v>appendices/appendix-b/index.html</x:v>
      </x:c>
      <x:c r="E391" s="17" t="str">
        <x:v>اختبر أزرار Cube/Sphere/Cylinder ومعلومات كل مجسم.</x:v>
      </x:c>
    </x:row>
    <x:row r="392" ht="15" hidden="0" customHeight="1">
      <x:c r="A392" s="21" t="str">
        <x:v>P0372</x:v>
      </x:c>
      <x:c r="B392" s="13" t="str">
        <x:v>فقرة</x:v>
      </x:c>
      <x:c r="C392" s="13" t="str">
        <x:v>MAP-100</x:v>
      </x:c>
      <x:c r="D392" s="13" t="str">
        <x:v>appendices/appendix-b/index.html</x:v>
      </x:c>
      <x:c r="E392" s="14" t="str">
        <x:v>اختبر Labels/Guides/Auto Rotate/Speed، وسجل أي اختلاف بصري.</x:v>
      </x:c>
    </x:row>
    <x:row r="393" ht="15" hidden="0" customHeight="1">
      <x:c r="A393" s="22" t="str">
        <x:v>P0373</x:v>
      </x:c>
      <x:c r="B393" s="16" t="str">
        <x:v>فقرة</x:v>
      </x:c>
      <x:c r="C393" s="16" t="str">
        <x:v>MAP-100</x:v>
      </x:c>
      <x:c r="D393" s="16" t="str">
        <x:v>appendices/appendix-b/index.html</x:v>
      </x:c>
      <x:c r="E393" s="17" t="str">
        <x:v>اختبر المقاطع الصوتية العربية بالتسلسل الكامل: بدء التشغيل، والحدث المحفز، والتزامن، والوضوح، ومستوى الصوت، وعدم التداخل.</x:v>
      </x:c>
    </x:row>
    <x:row r="394" ht="15" hidden="0" customHeight="1">
      <x:c r="A394" s="21" t="str">
        <x:v>P0374</x:v>
      </x:c>
      <x:c r="B394" s="13" t="str">
        <x:v>فقرة</x:v>
      </x:c>
      <x:c r="C394" s="13" t="str">
        <x:v>MAP-100</x:v>
      </x:c>
      <x:c r="D394" s="13" t="str">
        <x:v>appendices/appendix-b/index.html</x:v>
      </x:c>
      <x:c r="E394" s="14" t="str">
        <x:v>أعد الاختبار بعد كل تعديل ولا تعتمد على نجاح Inspector وحده.</x:v>
      </x:c>
    </x:row>
    <x:row r="395" ht="15" hidden="0" customHeight="1">
      <x:c r="A395" s="22" t="str">
        <x:v>P0375</x:v>
      </x:c>
      <x:c r="B395" s="16" t="str">
        <x:v>فقرة</x:v>
      </x:c>
      <x:c r="C395" s="16" t="str">
        <x:v>MAP-100</x:v>
      </x:c>
      <x:c r="D395" s="16" t="str">
        <x:v>appendices/appendix-b/index.html</x:v>
      </x:c>
      <x:c r="E395" s="17" t="str">
        <x:v>وثق الإصدار والتاريخ والجهاز والنتيجة وصورة عند الحاجة.</x:v>
      </x:c>
    </x:row>
    <x:row r="396" ht="15" hidden="0" customHeight="1">
      <x:c r="A396" s="21" t="str">
        <x:v>P0376</x:v>
      </x:c>
      <x:c r="B396" s="13" t="str">
        <x:v>فقرة</x:v>
      </x:c>
      <x:c r="C396" s="13" t="str">
        <x:v>MAP-101</x:v>
      </x:c>
      <x:c r="D396" s="13" t="str">
        <x:v>appendices/appendix-c/index.html</x:v>
      </x:c>
      <x:c r="E396" s="14" t="str">
        <x:v>الملحق (ج): بروتوكول السلامة المقترح عند التجربة مع الطلبة</x:v>
      </x:c>
    </x:row>
    <x:row r="397" ht="15" hidden="0" customHeight="1">
      <x:c r="A397" s="22" t="str">
        <x:v>P0377</x:v>
      </x:c>
      <x:c r="B397" s="16" t="str">
        <x:v>فقرة</x:v>
      </x:c>
      <x:c r="C397" s="16" t="str">
        <x:v>MAP-101</x:v>
      </x:c>
      <x:c r="D397" s="16" t="str">
        <x:v>appendices/appendix-c/index.html</x:v>
      </x:c>
      <x:c r="E397" s="17" t="str">
        <x:v>تحديد مساحة خالية وحدود Guardian قبل الجلسة.</x:v>
      </x:c>
    </x:row>
    <x:row r="398" ht="15" hidden="0" customHeight="1">
      <x:c r="A398" s="21" t="str">
        <x:v>P0378</x:v>
      </x:c>
      <x:c r="B398" s="13" t="str">
        <x:v>فقرة</x:v>
      </x:c>
      <x:c r="C398" s="13" t="str">
        <x:v>MAP-101</x:v>
      </x:c>
      <x:c r="D398" s="13" t="str">
        <x:v>appendices/appendix-c/index.html</x:v>
      </x:c>
      <x:c r="E398" s="14" t="str">
        <x:v>شرح حق الطالب في التوقف فورًا من دون عقوبة.</x:v>
      </x:c>
    </x:row>
    <x:row r="399" ht="15" hidden="0" customHeight="1">
      <x:c r="A399" s="22" t="str">
        <x:v>P0379</x:v>
      </x:c>
      <x:c r="B399" s="16" t="str">
        <x:v>فقرة</x:v>
      </x:c>
      <x:c r="C399" s="16" t="str">
        <x:v>MAP-101</x:v>
      </x:c>
      <x:c r="D399" s="16" t="str">
        <x:v>appendices/appendix-c/index.html</x:v>
      </x:c>
      <x:c r="E399" s="17" t="str">
        <x:v>توفير كرسي وخيار استخدام جلوسًا عند الحاجة.</x:v>
      </x:c>
    </x:row>
    <x:row r="400" ht="15" hidden="0" customHeight="1">
      <x:c r="A400" s="21" t="str">
        <x:v>P0380</x:v>
      </x:c>
      <x:c r="B400" s="13" t="str">
        <x:v>فقرة</x:v>
      </x:c>
      <x:c r="C400" s="13" t="str">
        <x:v>MAP-101</x:v>
      </x:c>
      <x:c r="D400" s="13" t="str">
        <x:v>appendices/appendix-c/index.html</x:v>
      </x:c>
      <x:c r="E400" s="14" t="str">
        <x:v>جلسة قصيرة أولى مع فاصل، وعدم مشاركة النظارة دون تنظيف.</x:v>
      </x:c>
    </x:row>
    <x:row r="401" ht="15" hidden="0" customHeight="1">
      <x:c r="A401" s="22" t="str">
        <x:v>P0381</x:v>
      </x:c>
      <x:c r="B401" s="16" t="str">
        <x:v>فقرة</x:v>
      </x:c>
      <x:c r="C401" s="16" t="str">
        <x:v>MAP-101</x:v>
      </x:c>
      <x:c r="D401" s="16" t="str">
        <x:v>appendices/appendix-c/index.html</x:v>
      </x:c>
      <x:c r="E401" s="17" t="str">
        <x:v>إيقاف الجلسة عند الدوار أو الغثيان أو الصداع أو فقدان التوازن.</x:v>
      </x:c>
    </x:row>
    <x:row r="402" ht="15" hidden="0" customHeight="1">
      <x:c r="A402" s="21" t="str">
        <x:v>P0382</x:v>
      </x:c>
      <x:c r="B402" s="13" t="str">
        <x:v>فقرة</x:v>
      </x:c>
      <x:c r="C402" s="13" t="str">
        <x:v>MAP-101</x:v>
      </x:c>
      <x:c r="D402" s="13" t="str">
        <x:v>appendices/appendix-c/index.html</x:v>
      </x:c>
      <x:c r="E402" s="14" t="str">
        <x:v>مراقبة خارجية مستمرة وعدم ترك الطالب وحده.</x:v>
      </x:c>
    </x:row>
    <x:row r="403" ht="15" hidden="0" customHeight="1">
      <x:c r="A403" s="22" t="str">
        <x:v>P0383</x:v>
      </x:c>
      <x:c r="B403" s="16" t="str">
        <x:v>فقرة</x:v>
      </x:c>
      <x:c r="C403" s="16" t="str">
        <x:v>MAP-101</x:v>
      </x:c>
      <x:c r="D403" s="16" t="str">
        <x:v>appendices/appendix-c/index.html</x:v>
      </x:c>
      <x:c r="E403" s="17" t="str">
        <x:v>عدم استخدام انتقال سلس في الدراسة الأولى إذا كان Teleport أكثر راحة.</x:v>
      </x:c>
    </x:row>
    <x:row r="404" ht="15" hidden="0" customHeight="1">
      <x:c r="A404" s="21" t="str">
        <x:v>P0384</x:v>
      </x:c>
      <x:c r="B404" s="13" t="str">
        <x:v>فقرة</x:v>
      </x:c>
      <x:c r="C404" s="13" t="str">
        <x:v>MAP-101</x:v>
      </x:c>
      <x:c r="D404" s="13" t="str">
        <x:v>appendices/appendix-c/index.html</x:v>
      </x:c>
      <x:c r="E404" s="14" t="str">
        <x:v>توثيق الحوادث التقنية أو أعراض الانزعاج من دون بيانات تعريف غير لازمة.</x:v>
      </x:c>
    </x:row>
    <x:row r="405" ht="15" hidden="0" customHeight="1">
      <x:c r="A405" s="22" t="str">
        <x:v>P0385</x:v>
      </x:c>
      <x:c r="B405" s="16" t="str">
        <x:v>فقرة</x:v>
      </x:c>
      <x:c r="C405" s="16" t="str">
        <x:v>MAP-102</x:v>
      </x:c>
      <x:c r="D405" s="16" t="str">
        <x:v>appendices/appendix-d/index.html</x:v>
      </x:c>
      <x:c r="E405" s="17" t="str">
        <x:v>الملحق (د): دليل موجز للمعلم</x:v>
      </x:c>
    </x:row>
    <x:row r="406" ht="48" hidden="0" customHeight="1">
      <x:c r="A406" s="21" t="str">
        <x:v>P0386</x:v>
      </x:c>
      <x:c r="B406" s="13" t="str">
        <x:v>فقرة</x:v>
      </x:c>
      <x:c r="C406" s="13" t="str">
        <x:v>MAP-102</x:v>
      </x:c>
      <x:c r="D406" s="13" t="str">
        <x:v>appendices/appendix-d/index.html</x:v>
      </x:c>
      <x:c r="E406" s="14" t="str">
        <x:v>قبل الدرس، يشغّل المعلم التطبيق ويختبر النظارة والمجسمات وزر Reset وتسلسل المقاطع الصوتية العربية ومستوى صوتها. في الدقائق الأولى لا يشرح المفاهيم الهندسية كلها؛ بل يراقب إنجاز التهيئة ويترك للصوت المدمج أداء التعليمات الإجرائية القصيرة. بعد دخول مختبر المجسمات، يوقف المعلم الشرح الزائد، ويسأل الطالب قبل إظهار التسميات: ماذا ترى؟ وما الذي يتغير عندما تدور حول الجسم؟ ثم يستخدم Labels وGuides والتوجيه الصوتي للتثبيت، ويعود إلى رسم اللوح لربط الخبرة بالمصطلح والرمز والتعريف. يبقى المعلم مسؤولًا عن الحوار والتشخيص، ولا يحل الصوت محله.</x:v>
      </x:c>
    </x:row>
    <x:row r="407" ht="15" hidden="0" customHeight="1">
      <x:c r="A407" s="22" t="str">
        <x:v>P0387</x:v>
      </x:c>
      <x:c r="B407" s="16" t="str">
        <x:v>فقرة</x:v>
      </x:c>
      <x:c r="C407" s="16" t="str">
        <x:v>MAP-103</x:v>
      </x:c>
      <x:c r="D407" s="16" t="str">
        <x:v>appendices/appendix-e/index.html</x:v>
      </x:c>
      <x:c r="E407" s="17" t="str">
        <x:v>الملحق (هـ): دليل موجز للطالب</x:v>
      </x:c>
    </x:row>
    <x:row r="408" ht="15" hidden="0" customHeight="1">
      <x:c r="A408" s="21" t="str">
        <x:v>P0388</x:v>
      </x:c>
      <x:c r="B408" s="13" t="str">
        <x:v>فقرة</x:v>
      </x:c>
      <x:c r="C408" s="13" t="str">
        <x:v>MAP-103</x:v>
      </x:c>
      <x:c r="D408" s="13" t="str">
        <x:v>appendices/appendix-e/index.html</x:v>
      </x:c>
      <x:c r="E408" s="14" t="str">
        <x:v>انظر حولك ببطء وحدد مكان يديك الافتراضيتين.</x:v>
      </x:c>
    </x:row>
    <x:row r="409" ht="15" hidden="0" customHeight="1">
      <x:c r="A409" s="22" t="str">
        <x:v>P0389</x:v>
      </x:c>
      <x:c r="B409" s="16" t="str">
        <x:v>فقرة</x:v>
      </x:c>
      <x:c r="C409" s="16" t="str">
        <x:v>MAP-103</x:v>
      </x:c>
      <x:c r="D409" s="16" t="str">
        <x:v>appendices/appendix-e/index.html</x:v>
      </x:c>
      <x:c r="E409" s="17" t="str">
        <x:v>جرّب الإمساك بجسم واحد ثم اتركه في مساحة آمنة.</x:v>
      </x:c>
    </x:row>
    <x:row r="410" ht="15" hidden="0" customHeight="1">
      <x:c r="A410" s="21" t="str">
        <x:v>P0390</x:v>
      </x:c>
      <x:c r="B410" s="13" t="str">
        <x:v>فقرة</x:v>
      </x:c>
      <x:c r="C410" s="13" t="str">
        <x:v>MAP-103</x:v>
      </x:c>
      <x:c r="D410" s="13" t="str">
        <x:v>appendices/appendix-e/index.html</x:v>
      </x:c>
      <x:c r="E410" s="14" t="str">
        <x:v>استخدم الانتقال الآني بدل المشي إذا كانت المساحة محدودة.</x:v>
      </x:c>
    </x:row>
    <x:row r="411" ht="15" hidden="0" customHeight="1">
      <x:c r="A411" s="22" t="str">
        <x:v>P0391</x:v>
      </x:c>
      <x:c r="B411" s="16" t="str">
        <x:v>فقرة</x:v>
      </x:c>
      <x:c r="C411" s="16" t="str">
        <x:v>MAP-103</x:v>
      </x:c>
      <x:c r="D411" s="16" t="str">
        <x:v>appendices/appendix-e/index.html</x:v>
      </x:c>
      <x:c r="E411" s="17" t="str">
        <x:v>إذا سقطت الأجسام أو ابتعدت، اضغط Reset Objects.</x:v>
      </x:c>
    </x:row>
    <x:row r="412" ht="15" hidden="0" customHeight="1">
      <x:c r="A412" s="21" t="str">
        <x:v>P0392</x:v>
      </x:c>
      <x:c r="B412" s="13" t="str">
        <x:v>فقرة</x:v>
      </x:c>
      <x:c r="C412" s="13" t="str">
        <x:v>MAP-103</x:v>
      </x:c>
      <x:c r="D412" s="13" t="str">
        <x:v>appendices/appendix-e/index.html</x:v>
      </x:c>
      <x:c r="E412" s="14" t="str">
        <x:v>عند نجاح مهام التدريب، ادخل مختبر المجسمات.</x:v>
      </x:c>
    </x:row>
    <x:row r="413" ht="15" hidden="0" customHeight="1">
      <x:c r="A413" s="22" t="str">
        <x:v>P0393</x:v>
      </x:c>
      <x:c r="B413" s="16" t="str">
        <x:v>فقرة</x:v>
      </x:c>
      <x:c r="C413" s="16" t="str">
        <x:v>MAP-103</x:v>
      </x:c>
      <x:c r="D413" s="16" t="str">
        <x:v>appendices/appendix-e/index.html</x:v>
      </x:c>
      <x:c r="E413" s="17" t="str">
        <x:v>استمع إلى التوجيه الصوتي العربي، ونفّذ المطلوب خطوة خطوة؛ ويمكنك التوقف وطلب مساعدة المعلم إذا لم يكن الصوت واضحًا.</x:v>
      </x:c>
    </x:row>
    <x:row r="414" ht="15" hidden="0" customHeight="1">
      <x:c r="A414" s="21" t="str">
        <x:v>P0394</x:v>
      </x:c>
      <x:c r="B414" s="13" t="str">
        <x:v>فقرة</x:v>
      </x:c>
      <x:c r="C414" s="13" t="str">
        <x:v>MAP-103</x:v>
      </x:c>
      <x:c r="D414" s="13" t="str">
        <x:v>appendices/appendix-e/index.html</x:v>
      </x:c>
      <x:c r="E414" s="14" t="str">
        <x:v>اختر مجسمًا واحدًا، شاهده من جهات مختلفة، ثم أظهر التسميات.</x:v>
      </x:c>
    </x:row>
    <x:row r="415" ht="15" hidden="0" customHeight="1">
      <x:c r="A415" s="22" t="str">
        <x:v>P0395</x:v>
      </x:c>
      <x:c r="B415" s="16" t="str">
        <x:v>فقرة</x:v>
      </x:c>
      <x:c r="C415" s="16" t="str">
        <x:v>MAP-103</x:v>
      </x:c>
      <x:c r="D415" s="16" t="str">
        <x:v>appendices/appendix-e/index.html</x:v>
      </x:c>
      <x:c r="E415" s="17" t="str">
        <x:v>أوقف التجربة وأخبر المعلم إذا شعرت بدوار أو انزعاج.</x:v>
      </x:c>
    </x:row>
    <x:row r="416" ht="15" hidden="0" customHeight="1">
      <x:c r="A416" s="21" t="str">
        <x:v>P0396</x:v>
      </x:c>
      <x:c r="B416" s="13" t="str">
        <x:v>فقرة</x:v>
      </x:c>
      <x:c r="C416" s="13" t="str">
        <x:v>MAP-104</x:v>
      </x:c>
      <x:c r="D416" s="13" t="str">
        <x:v>appendices/appendix-f/index.html</x:v>
      </x:c>
      <x:c r="E416" s="14" t="str">
        <x:v>الملحق (و): سجل التطوير المقترح</x:v>
      </x:c>
    </x:row>
    <x:row r="417" ht="15" hidden="0" customHeight="1">
      <x:c r="A417" s="22" t="str">
        <x:v>P0397</x:v>
      </x:c>
      <x:c r="B417" s="16" t="str">
        <x:v>فقرة</x:v>
      </x:c>
      <x:c r="C417" s="16" t="str">
        <x:v>MAP-104</x:v>
      </x:c>
      <x:c r="D417" s="16" t="str">
        <x:v>appendices/appendix-f/index.html</x:v>
      </x:c>
      <x:c r="E417" s="17" t="str">
        <x:v>نموذج فارغ للاستخدام في الإصدارات اللاحقة</x:v>
      </x:c>
    </x:row>
    <x:row r="418" ht="60" hidden="0" customHeight="1">
      <x:c r="A418" s="21" t="str">
        <x:v>T016</x:v>
      </x:c>
      <x:c r="B418" s="13" t="str">
        <x:v>جدول</x:v>
      </x:c>
      <x:c r="C418" s="13" t="str">
        <x:v>MAP-104</x:v>
      </x:c>
      <x:c r="D418" s="13" t="str">
        <x:v>appendices/appendix-f/index.html</x:v>
      </x:c>
      <x:c r="E418" s="14" t="str">
        <x:v>التاريخ/الإصدار / المشكلة أو الهدف / التعديل / نتيجة الاختبار / الحالة
 /  /  /  / 
 /  /  /  / 
 /  /  /  / 
 /  /  /  / </x:v>
      </x:c>
    </x:row>
    <x:row r="419" ht="15" hidden="0" customHeight="1">
      <x:c r="A419" s="22" t="str">
        <x:v>P0398</x:v>
      </x:c>
      <x:c r="B419" s="16" t="str">
        <x:v>فقرة</x:v>
      </x:c>
      <x:c r="C419" s="16" t="str">
        <x:v>MAP-104</x:v>
      </x:c>
      <x:c r="D419" s="16" t="str">
        <x:v>appendices/appendix-f/index.html</x:v>
      </x:c>
      <x:c r="E419" s="17" t="str"/>
    </x:row>
    <x:row r="420" ht="15" hidden="0" customHeight="1">
      <x:c r="A420" s="21" t="str">
        <x:v>P0399</x:v>
      </x:c>
      <x:c r="B420" s="13" t="str">
        <x:v>فقرة</x:v>
      </x:c>
      <x:c r="C420" s="13" t="str">
        <x:v>MAP-105</x:v>
      </x:c>
      <x:c r="D420" s="13" t="str">
        <x:v>appendices/appendix-g/index.html</x:v>
      </x:c>
      <x:c r="E420" s="14" t="str">
        <x:v>الملحق (ز): بيان النشر المقترح</x:v>
      </x:c>
    </x:row>
    <x:row r="421" ht="36" hidden="0" customHeight="1">
      <x:c r="A421" s="22" t="str">
        <x:v>T017</x:v>
      </x:c>
      <x:c r="B421" s="16" t="str">
        <x:v>جدول</x:v>
      </x:c>
      <x:c r="C421" s="16" t="str">
        <x:v>MAP-105</x:v>
      </x:c>
      <x:c r="D421" s="16" t="str">
        <x:v>appendices/appendix-g/index.html</x:v>
      </x:c>
      <x:c r="E421" s="17" t="str">
        <x:v>صياغة مقترحة: يخطط الباحث لإتاحة النسخة التعليمية الأساسية من التطبيق مجانًا للمعلمين والطلبة بعد استكمال التطوير والاختبارات ومتطلبات النشر. ولا تعني الإتاحة المجانية التنازل عن حقوق الملكية الفكرية أو نشر الشفرة المصدرية؛ إذ يحتفظ الباحث بحقوق تصميم التطبيق ومكوناته، مع إمكان تطوير خدمات أو إصدارات مؤسسية موسعة مستقبلًا.</x:v>
      </x:c>
    </x:row>
    <x:row r="422" ht="15" hidden="0" customHeight="1">
      <x:c r="A422" s="21" t="str">
        <x:v>P0400</x:v>
      </x:c>
      <x:c r="B422" s="13" t="str">
        <x:v>فقرة</x:v>
      </x:c>
      <x:c r="C422" s="13" t="str">
        <x:v>MAP-105</x:v>
      </x:c>
      <x:c r="D422" s="13" t="str">
        <x:v>appendices/appendix-g/index.html</x:v>
      </x:c>
      <x:c r="E422" s="14" t="str"/>
    </x:row>
    <x:row r="423" ht="15" hidden="0" customHeight="1">
      <x:c r="A423" s="22" t="str">
        <x:v>P0401</x:v>
      </x:c>
      <x:c r="B423" s="16" t="str">
        <x:v>فقرة</x:v>
      </x:c>
      <x:c r="C423" s="16" t="str">
        <x:v>MAP-106</x:v>
      </x:c>
      <x:c r="D423" s="16" t="str">
        <x:v>appendices/appendix-h/index.html</x:v>
      </x:c>
      <x:c r="E423" s="17" t="str">
        <x:v>الملحق (ح): توضيح الفرق بين هذه الدراسة ودراسة الأثر المستقبلية</x:v>
      </x:c>
    </x:row>
    <x:row r="424" ht="15" hidden="0" customHeight="1">
      <x:c r="A424" s="21" t="str">
        <x:v>P0402</x:v>
      </x:c>
      <x:c r="B424" s="13" t="str">
        <x:v>فقرة</x:v>
      </x:c>
      <x:c r="C424" s="13" t="str">
        <x:v>MAP-106</x:v>
      </x:c>
      <x:c r="D424" s="13" t="str">
        <x:v>appendices/appendix-h/index.html</x:v>
      </x:c>
      <x:c r="E424" s="14" t="str">
        <x:v>مقارنة منهجية</x:v>
      </x:c>
    </x:row>
    <x:row r="425" ht="84" hidden="0" customHeight="1">
      <x:c r="A425" s="22" t="str">
        <x:v>T018</x:v>
      </x:c>
      <x:c r="B425" s="16" t="str">
        <x:v>جدول</x:v>
      </x:c>
      <x:c r="C425" s="16" t="str">
        <x:v>MAP-106</x:v>
      </x:c>
      <x:c r="D425" s="16" t="str">
        <x:v>appendices/appendix-h/index.html</x:v>
      </x:c>
      <x:c r="E425" s="17" t="str">
        <x:v>العنصر / الدراسة الحالية / الدراسة المستقبلية
الغاية / تصميم وتطوير المنتج والتحقق من وظائفه / قياس أثر المنتج في التعلم/التصور.
وحدة التحليل / التطبيق والمشاهد والتفاعلات / الطلبة ونتائج تعلمهم.
العينة / لا توجد / عينة محددة ومبررة.
الأدوات / متطلبات، سجل تطوير، فحص وظيفي / اختبارات، ملاحظة، وربما استبانة/مقابلة.
التحليل / وصفي وتصميمي ومصفوفة تحقق / إحصائي ونوعي وفق الأسئلة.
نوع الادعاء / تحقق الوظيفة والمواصفة / فاعلية أو فرق أو تجربة مستخدم.</x:v>
      </x:c>
    </x:row>
    <x:row r="426" ht="15" hidden="0" customHeight="1">
      <x:c r="A426" s="21" t="str">
        <x:v>P0403</x:v>
      </x:c>
      <x:c r="B426" s="13" t="str">
        <x:v>فقرة</x:v>
      </x:c>
      <x:c r="C426" s="13" t="str">
        <x:v>MAP-106</x:v>
      </x:c>
      <x:c r="D426" s="13" t="str">
        <x:v>appendices/appendix-h/index.html</x:v>
      </x:c>
      <x:c r="E426" s="14" t="str"/>
    </x:row>
    <x:row r="427" ht="15" hidden="0" customHeight="1">
      <x:c r="A427" s="22" t="str">
        <x:v>P0404</x:v>
      </x:c>
      <x:c r="B427" s="16" t="str">
        <x:v>فقرة</x:v>
      </x:c>
      <x:c r="C427" s="16" t="str">
        <x:v>MAP-106</x:v>
      </x:c>
      <x:c r="D427" s="16" t="str">
        <x:v>appendices/appendix-h/index.html</x:v>
      </x:c>
      <x:c r="E427" s="17" t="str">
        <x:v>انتهى البحث</x:v>
      </x:c>
    </x:row>
    <x:row r="428" ht="15" hidden="0" customHeight="1">
      <x:c r="A428" s="21" t="str">
        <x:v>P0405</x:v>
      </x:c>
      <x:c r="B428" s="13" t="str">
        <x:v>فقرة</x:v>
      </x:c>
      <x:c r="C428" s="13" t="str">
        <x:v>MAP-106</x:v>
      </x:c>
      <x:c r="D428" s="13" t="str">
        <x:v>appendices/appendix-h/index.html</x:v>
      </x:c>
      <x:c r="E428" s="14" t="str"/>
    </x:row>
    <x:row r="429" ht="15" hidden="0" customHeight="1">
      <x:c r="A429" s="22" t="str">
        <x:v>P0406</x:v>
      </x:c>
      <x:c r="B429" s="16" t="str">
        <x:v>فقرة</x:v>
      </x:c>
      <x:c r="C429" s="16" t="str">
        <x:v>MAP-107</x:v>
      </x:c>
      <x:c r="D429" s="16" t="str">
        <x:v>appendices/appendix-i/index.html</x:v>
      </x:c>
      <x:c r="E429" s="17" t="str">
        <x:v>الملحق (ط)</x:v>
      </x:c>
    </x:row>
    <x:row r="430" ht="15" hidden="0" customHeight="1">
      <x:c r="A430" s="21" t="str">
        <x:v>P0407</x:v>
      </x:c>
      <x:c r="B430" s="13" t="str">
        <x:v>فقرة</x:v>
      </x:c>
      <x:c r="C430" s="13" t="str">
        <x:v>MAP-107</x:v>
      </x:c>
      <x:c r="D430" s="13" t="str">
        <x:v>appendices/appendix-i/index.html</x:v>
      </x:c>
      <x:c r="E430" s="14" t="str">
        <x:v>التوثيق التطبيقي للإصدار المستقل</x:v>
      </x:c>
    </x:row>
    <x:row r="431" ht="15" hidden="0" customHeight="1">
      <x:c r="A431" s="22" t="str">
        <x:v>P0408</x:v>
      </x:c>
      <x:c r="B431" s="16" t="str">
        <x:v>فقرة</x:v>
      </x:c>
      <x:c r="C431" s="16" t="str">
        <x:v>MAP-107</x:v>
      </x:c>
      <x:c r="D431" s="16" t="str">
        <x:v>appendices/appendix-i/index.html</x:v>
      </x:c>
      <x:c r="E431" s="17" t="str">
        <x:v>Geometry VR Lab — Alpha v1.0.0</x:v>
      </x:c>
    </x:row>
    <x:row r="432" ht="36" hidden="0" customHeight="1">
      <x:c r="A432" s="21" t="str">
        <x:v>P0409</x:v>
      </x:c>
      <x:c r="B432" s="13" t="str">
        <x:v>فقرة</x:v>
      </x:c>
      <x:c r="C432" s="13" t="str">
        <x:v>MAP-107</x:v>
      </x:c>
      <x:c r="D432" s="13" t="str">
        <x:v>appendices/appendix-i/index.html</x:v>
      </x:c>
      <x:c r="E432" s="14" t="str">
        <x:v>يوثّق هذا الملحق الإنجاز العملي المتحقق بتاريخ 28 تموز/يوليو 2026، بعد تحويل المشروع من مشاهد تعمل داخل Unity إلى تطبيق Android مستقل وموقّع، ثم تثبيته وتشغيله واختباره فعليًا على نظارة Meta Quest 3S. ويُعد هذا الاختبار تحققًا وظيفيًا من سلامة البناء والتثبيت والتشغيل، ولا يُعد قياسًا لفاعلية التعلم لدى عينة من الطلبة.</x:v>
      </x:c>
    </x:row>
    <x:row r="433" ht="15" hidden="0" customHeight="1">
      <x:c r="A433" s="22" t="str">
        <x:v>P0410</x:v>
      </x:c>
      <x:c r="B433" s="16" t="str">
        <x:v>فقرة</x:v>
      </x:c>
      <x:c r="C433" s="16" t="str">
        <x:v>MAP-108</x:v>
      </x:c>
      <x:c r="D433" s="16" t="str">
        <x:v>appendices/appendix-i/index.html#appendix-i-section-01</x:v>
      </x:c>
      <x:c r="E433" s="17" t="str">
        <x:v>طاقة تعريف التطبيق</x:v>
      </x:c>
    </x:row>
    <x:row r="434" ht="96" hidden="0" customHeight="1">
      <x:c r="A434" s="21" t="str">
        <x:v>T019</x:v>
      </x:c>
      <x:c r="B434" s="13" t="str">
        <x:v>جدول</x:v>
      </x:c>
      <x:c r="C434" s="13" t="str">
        <x:v>MAP-108</x:v>
      </x:c>
      <x:c r="D434" s="13" t="str">
        <x:v>appendices/appendix-i/index.html#appendix-i-section-01</x:v>
      </x:c>
      <x:c r="E434" s="14" t="str">
        <x:v>اسم التطبيق / Geometry VR Lab — مختبر الهندسة بالواقع الافتراضي
نوع المنتج / تطبيق واقع افتراضي تعليمي غامر وتفاعلي
الإصدار المختبَر / 1.0.0 (Build 1) — Alpha
معرّف الحزمة / com.ibrahimieh.geometryvrlab
الجهاز المختبَر / Meta Quest 3S
بيئة التطوير / Unity 6.4 (6000.4.1f1)، OpenXR، XR Interaction Toolkit
حالة التشغيل / تم التثبيت والتشغيل المستقل بنجاح
حالة النشر / نسخة اختبار داخلية؛ لم يُنشأ رابط توزيع عام بعد</x:v>
      </x:c>
    </x:row>
    <x:row r="435" ht="15" hidden="0" customHeight="1">
      <x:c r="A435" s="22" t="str">
        <x:v>P0411</x:v>
      </x:c>
      <x:c r="B435" s="16" t="str">
        <x:v>فقرة</x:v>
      </x:c>
      <x:c r="C435" s="16" t="str">
        <x:v>MAP-108</x:v>
      </x:c>
      <x:c r="D435" s="16" t="str">
        <x:v>appendices/appendix-i/index.html#appendix-i-section-01</x:v>
      </x:c>
      <x:c r="E435" s="17" t="str"/>
    </x:row>
    <x:row r="436" ht="15" hidden="0" customHeight="1">
      <x:c r="A436" s="21" t="str">
        <x:v>P0412</x:v>
      </x:c>
      <x:c r="B436" s="13" t="str">
        <x:v>فقرة</x:v>
      </x:c>
      <x:c r="C436" s="13" t="str">
        <x:v>MAP-109</x:v>
      </x:c>
      <x:c r="D436" s="13" t="str">
        <x:v>appendices/appendix-i/index.html#appendix-i-section-02</x:v>
      </x:c>
      <x:c r="E436" s="14" t="str">
        <x:v>ما أُنجز في هذا الإصدار</x:v>
      </x:c>
    </x:row>
    <x:row r="437" ht="15" hidden="0" customHeight="1">
      <x:c r="A437" s="22" t="str">
        <x:v>P0413</x:v>
      </x:c>
      <x:c r="B437" s="16" t="str">
        <x:v>فقرة</x:v>
      </x:c>
      <x:c r="C437" s="16" t="str">
        <x:v>MAP-109</x:v>
      </x:c>
      <x:c r="D437" s="16" t="str">
        <x:v>appendices/appendix-i/index.html#appendix-i-section-02</x:v>
      </x:c>
      <x:c r="E437" s="17" t="str">
        <x:v>• إنشاء مفتاح توقيع دائم وربطه بالمشروع، ثم إنتاج ملف APK موقّع.</x:v>
      </x:c>
    </x:row>
    <x:row r="438" ht="15" hidden="0" customHeight="1">
      <x:c r="A438" s="21" t="str">
        <x:v>P0414</x:v>
      </x:c>
      <x:c r="B438" s="13" t="str">
        <x:v>فقرة</x:v>
      </x:c>
      <x:c r="C438" s="13" t="str">
        <x:v>MAP-109</x:v>
      </x:c>
      <x:c r="D438" s="13" t="str">
        <x:v>appendices/appendix-i/index.html#appendix-i-section-02</x:v>
      </x:c>
      <x:c r="E438" s="14" t="str">
        <x:v>• تثبيت النسخة عبر Meta Quest Developer Hub والتأكد من ظهور الإصدار 1.0.0.</x:v>
      </x:c>
    </x:row>
    <x:row r="439" ht="15" hidden="0" customHeight="1">
      <x:c r="A439" s="22" t="str">
        <x:v>P0415</x:v>
      </x:c>
      <x:c r="B439" s="16" t="str">
        <x:v>فقرة</x:v>
      </x:c>
      <x:c r="C439" s="16" t="str">
        <x:v>MAP-109</x:v>
      </x:c>
      <x:c r="D439" s="16" t="str">
        <x:v>appendices/appendix-i/index.html#appendix-i-section-02</x:v>
      </x:c>
      <x:c r="E439" s="17" t="str">
        <x:v>• تشغيل التطبيق داخل النظارة، ثم تشغيله من قسم Unknown Sources دون الاعتماد على Unity.</x:v>
      </x:c>
    </x:row>
    <x:row r="440" ht="15" hidden="0" customHeight="1">
      <x:c r="A440" s="21" t="str">
        <x:v>P0416</x:v>
      </x:c>
      <x:c r="B440" s="13" t="str">
        <x:v>فقرة</x:v>
      </x:c>
      <x:c r="C440" s="13" t="str">
        <x:v>MAP-109</x:v>
      </x:c>
      <x:c r="D440" s="13" t="str">
        <x:v>appendices/appendix-i/index.html#appendix-i-section-02</x:v>
      </x:c>
      <x:c r="E440" s="14" t="str">
        <x:v>• اختبار التهيئة، تتبع الرأس واليدين، الحركة والدوران، الإمساك والإفلات وإعادة المجسمات.</x:v>
      </x:c>
    </x:row>
    <x:row r="441" ht="15" hidden="0" customHeight="1">
      <x:c r="A441" s="22" t="str">
        <x:v>P0417</x:v>
      </x:c>
      <x:c r="B441" s="16" t="str">
        <x:v>فقرة</x:v>
      </x:c>
      <x:c r="C441" s="16" t="str">
        <x:v>MAP-109</x:v>
      </x:c>
      <x:c r="D441" s="16" t="str">
        <x:v>appendices/appendix-i/index.html#appendix-i-section-02</x:v>
      </x:c>
      <x:c r="E441" s="17" t="str">
        <x:v>• اختبار الانتقال إلى مختبر المجسمات واختيار المكعب والكرة والأسطوانة وإظهار الأدلة والتسميات والدوران الآلي.</x:v>
      </x:c>
    </x:row>
    <x:row r="442" ht="15" hidden="0" customHeight="1">
      <x:c r="A442" s="21" t="str">
        <x:v>P0418</x:v>
      </x:c>
      <x:c r="B442" s="13" t="str">
        <x:v>فقرة</x:v>
      </x:c>
      <x:c r="C442" s="13" t="str">
        <x:v>MAP-109</x:v>
      </x:c>
      <x:c r="D442" s="13" t="str">
        <x:v>appendices/appendix-i/index.html#appendix-i-section-02</x:v>
      </x:c>
      <x:c r="E442" s="14" t="str">
        <x:v>• إضافة ملفات الإرشاد الصوتي باللغة العربية وربطها بأحداث المشهد لتقديم التعليمات والتحفيز وإشارات الانتقال.</x:v>
      </x:c>
    </x:row>
    <x:row r="443" ht="15" hidden="0" customHeight="1">
      <x:c r="A443" s="22" t="str">
        <x:v>P0419</x:v>
      </x:c>
      <x:c r="B443" s="16" t="str">
        <x:v>فقرة</x:v>
      </x:c>
      <x:c r="C443" s="16" t="str">
        <x:v>MAP-109</x:v>
      </x:c>
      <x:c r="D443" s="16" t="str">
        <x:v>appendices/appendix-i/index.html#appendix-i-section-02</x:v>
      </x:c>
      <x:c r="E443" s="17" t="str"/>
    </x:row>
    <x:row r="444" ht="15" hidden="0" customHeight="1">
      <x:c r="A444" s="21" t="str">
        <x:v>P0420</x:v>
      </x:c>
      <x:c r="B444" s="13" t="str">
        <x:v>فقرة</x:v>
      </x:c>
      <x:c r="C444" s="13" t="str">
        <x:v>MAP-110</x:v>
      </x:c>
      <x:c r="D444" s="13" t="str">
        <x:v>appendices/appendix-i/index.html#appendix-i-section-03</x:v>
      </x:c>
      <x:c r="E444" s="14" t="str">
        <x:v>دليل البناء والتثبيت والتشغيل</x:v>
      </x:c>
    </x:row>
    <x:row r="445" ht="15" hidden="0" customHeight="1">
      <x:c r="A445" s="22" t="str">
        <x:v>P0421</x:v>
      </x:c>
      <x:c r="B445" s="16" t="str">
        <x:v>فقرة</x:v>
      </x:c>
      <x:c r="C445" s="16" t="str">
        <x:v>MAP-110</x:v>
      </x:c>
      <x:c r="D445" s="16" t="str">
        <x:v>appendices/appendix-i/index.html#appendix-i-section-03</x:v>
      </x:c>
      <x:c r="E445" s="17" t="str"/>
    </x:row>
    <x:row r="446" ht="15" hidden="0" customHeight="1">
      <x:c r="A446" s="21" t="str">
        <x:v>P0422</x:v>
      </x:c>
      <x:c r="B446" s="13" t="str">
        <x:v>فقرة</x:v>
      </x:c>
      <x:c r="C446" s="13" t="str">
        <x:v>MAP-110</x:v>
      </x:c>
      <x:c r="D446" s="13" t="str">
        <x:v>appendices/appendix-i/index.html#appendix-i-section-03</x:v>
      </x:c>
      <x:c r="E446" s="14" t="str">
        <x:v>شكل (ط-1): ملف APK الناتج عن عملية البناء في Unity، بحجم يقارب 124 MB.</x:v>
      </x:c>
    </x:row>
    <x:row r="447" ht="15" hidden="0" customHeight="1">
      <x:c r="A447" s="22" t="str">
        <x:v>P0423</x:v>
      </x:c>
      <x:c r="B447" s="16" t="str">
        <x:v>فقرة</x:v>
      </x:c>
      <x:c r="C447" s="16" t="str">
        <x:v>MAP-110</x:v>
      </x:c>
      <x:c r="D447" s="16" t="str">
        <x:v>appendices/appendix-i/index.html#appendix-i-section-03</x:v>
      </x:c>
      <x:c r="E447" s="17" t="str"/>
    </x:row>
    <x:row r="448" ht="15" hidden="0" customHeight="1">
      <x:c r="A448" s="21" t="str">
        <x:v>P0424</x:v>
      </x:c>
      <x:c r="B448" s="13" t="str">
        <x:v>فقرة</x:v>
      </x:c>
      <x:c r="C448" s="13" t="str">
        <x:v>MAP-110</x:v>
      </x:c>
      <x:c r="D448" s="13" t="str">
        <x:v>appendices/appendix-i/index.html#appendix-i-section-03</x:v>
      </x:c>
      <x:c r="E448" s="14" t="str">
        <x:v>شكل (ط-2): ظهور التطبيق بالإصدار 1.0.0 وحالة Running على نظارة Quest 3S داخل Meta Quest Developer Hub.</x:v>
      </x:c>
    </x:row>
    <x:row r="449" ht="24" hidden="0" customHeight="1">
      <x:c r="A449" s="22" t="str">
        <x:v>P0425</x:v>
      </x:c>
      <x:c r="B449" s="16" t="str">
        <x:v>فقرة</x:v>
      </x:c>
      <x:c r="C449" s="16" t="str">
        <x:v>MAP-110</x:v>
      </x:c>
      <x:c r="D449" s="16" t="str">
        <x:v>appendices/appendix-i/index.html#appendix-i-section-03</x:v>
      </x:c>
      <x:c r="E449" s="17" t="str">
        <x:v>تثبت الصورتان اكتمال سلسلتي البناء والتوقيع من جهة، والتثبيت والتشغيل الفعلي على الجهاز المستهدف من جهة أخرى. أما رسالة Version mismatch الظاهرة في أداة المطور فتتعلق بخدمة Quest Link/Streaming، ولم تمنع تثبيت التطبيق أو تشغيل نسخة APK المستقلة.</x:v>
      </x:c>
    </x:row>
    <x:row r="450" ht="15" hidden="0" customHeight="1">
      <x:c r="A450" s="21" t="str">
        <x:v>P0426</x:v>
      </x:c>
      <x:c r="B450" s="13" t="str">
        <x:v>فقرة</x:v>
      </x:c>
      <x:c r="C450" s="13" t="str">
        <x:v>MAP-110</x:v>
      </x:c>
      <x:c r="D450" s="13" t="str">
        <x:v>appendices/appendix-i/index.html#appendix-i-section-03</x:v>
      </x:c>
      <x:c r="E450" s="14" t="str"/>
    </x:row>
    <x:row r="451" ht="15" hidden="0" customHeight="1">
      <x:c r="A451" s="22" t="str">
        <x:v>P0427</x:v>
      </x:c>
      <x:c r="B451" s="16" t="str">
        <x:v>فقرة</x:v>
      </x:c>
      <x:c r="C451" s="16" t="str">
        <x:v>MAP-111</x:v>
      </x:c>
      <x:c r="D451" s="16" t="str">
        <x:v>appendices/appendix-i/index.html#appendix-i-section-04</x:v>
      </x:c>
      <x:c r="E451" s="17" t="str">
        <x:v>متطلبات الاستخدام</x:v>
      </x:c>
    </x:row>
    <x:row r="452" ht="15" hidden="0" customHeight="1">
      <x:c r="A452" s="21" t="str">
        <x:v>P0428</x:v>
      </x:c>
      <x:c r="B452" s="13" t="str">
        <x:v>فقرة</x:v>
      </x:c>
      <x:c r="C452" s="13" t="str">
        <x:v>MAP-112</x:v>
      </x:c>
      <x:c r="D452" s="13" t="str">
        <x:v>appendices/appendix-i/index.html#appendix-i-section-05</x:v>
      </x:c>
      <x:c r="E452" s="14" t="str">
        <x:v>أولًا: ما يحتاجه الطالب</x:v>
      </x:c>
    </x:row>
    <x:row r="453" ht="15" hidden="0" customHeight="1">
      <x:c r="A453" s="22" t="str">
        <x:v>P0429</x:v>
      </x:c>
      <x:c r="B453" s="16" t="str">
        <x:v>فقرة</x:v>
      </x:c>
      <x:c r="C453" s="16" t="str">
        <x:v>MAP-112</x:v>
      </x:c>
      <x:c r="D453" s="16" t="str">
        <x:v>appendices/appendix-i/index.html#appendix-i-section-05</x:v>
      </x:c>
      <x:c r="E453" s="17" t="str">
        <x:v>• نظارة Meta Quest 3S أو جهاز Quest متوافق، مع وحدتي التحكم.</x:v>
      </x:c>
    </x:row>
    <x:row r="454" ht="15" hidden="0" customHeight="1">
      <x:c r="A454" s="21" t="str">
        <x:v>P0430</x:v>
      </x:c>
      <x:c r="B454" s="13" t="str">
        <x:v>فقرة</x:v>
      </x:c>
      <x:c r="C454" s="13" t="str">
        <x:v>MAP-112</x:v>
      </x:c>
      <x:c r="D454" s="13" t="str">
        <x:v>appendices/appendix-i/index.html#appendix-i-section-05</x:v>
      </x:c>
      <x:c r="E454" s="14" t="str">
        <x:v>• بطارية مشحونة ومساحة لعب آمنة ومحددة بحدود النظام، مع إبعاد العوائق.</x:v>
      </x:c>
    </x:row>
    <x:row r="455" ht="15" hidden="0" customHeight="1">
      <x:c r="A455" s="22" t="str">
        <x:v>P0431</x:v>
      </x:c>
      <x:c r="B455" s="16" t="str">
        <x:v>فقرة</x:v>
      </x:c>
      <x:c r="C455" s="16" t="str">
        <x:v>MAP-112</x:v>
      </x:c>
      <x:c r="D455" s="16" t="str">
        <x:v>appendices/appendix-i/index.html#appendix-i-section-05</x:v>
      </x:c>
      <x:c r="E455" s="17" t="str">
        <x:v>• تهيئة أولية قصيرة للتعرّف إلى النظر والحركة والدوران والإمساك والإفلات.</x:v>
      </x:c>
    </x:row>
    <x:row r="456" ht="15" hidden="0" customHeight="1">
      <x:c r="A456" s="21" t="str">
        <x:v>P0432</x:v>
      </x:c>
      <x:c r="B456" s="13" t="str">
        <x:v>فقرة</x:v>
      </x:c>
      <x:c r="C456" s="13" t="str">
        <x:v>MAP-112</x:v>
      </x:c>
      <x:c r="D456" s="13" t="str">
        <x:v>appendices/appendix-i/index.html#appendix-i-section-05</x:v>
      </x:c>
      <x:c r="E456" s="14" t="str">
        <x:v>• سماع واضح للتوجيهات العربية؛ مع ضبط مستوى الصوت بما يلائم الطالب والبيئة المدرسية.</x:v>
      </x:c>
    </x:row>
    <x:row r="457" ht="15" hidden="0" customHeight="1">
      <x:c r="A457" s="22" t="str">
        <x:v>P0433</x:v>
      </x:c>
      <x:c r="B457" s="16" t="str">
        <x:v>فقرة</x:v>
      </x:c>
      <x:c r="C457" s="16" t="str">
        <x:v>MAP-112</x:v>
      </x:c>
      <x:c r="D457" s="16" t="str">
        <x:v>appendices/appendix-i/index.html#appendix-i-section-05</x:v>
      </x:c>
      <x:c r="E457" s="17" t="str">
        <x:v>• إشراف المعلم، مع حق الطالب في إيقاف التجربة فور الشعور بالدوار أو الصداع أو فقدان التوازن.</x:v>
      </x:c>
    </x:row>
    <x:row r="458" ht="15" hidden="0" customHeight="1">
      <x:c r="A458" s="21" t="str">
        <x:v>P0434</x:v>
      </x:c>
      <x:c r="B458" s="13" t="str">
        <x:v>فقرة</x:v>
      </x:c>
      <x:c r="C458" s="13" t="str">
        <x:v>MAP-113</x:v>
      </x:c>
      <x:c r="D458" s="13" t="str">
        <x:v>appendices/appendix-i/index.html#appendix-i-section-06</x:v>
      </x:c>
      <x:c r="E458" s="14" t="str">
        <x:v>ثانيًا: ما يحتاجه المعلم أو المدرسة</x:v>
      </x:c>
    </x:row>
    <x:row r="459" ht="15" hidden="0" customHeight="1">
      <x:c r="A459" s="22" t="str">
        <x:v>P0435</x:v>
      </x:c>
      <x:c r="B459" s="16" t="str">
        <x:v>فقرة</x:v>
      </x:c>
      <x:c r="C459" s="16" t="str">
        <x:v>MAP-113</x:v>
      </x:c>
      <x:c r="D459" s="16" t="str">
        <x:v>appendices/appendix-i/index.html#appendix-i-section-06</x:v>
      </x:c>
      <x:c r="E459" s="17" t="str">
        <x:v>• نسخة التطبيق المثبّتة على النظارة؛ لا يحتاج التطبيق إلى حاسوب أثناء الاستخدام اليومي بعد التثبيت.</x:v>
      </x:c>
    </x:row>
    <x:row r="460" ht="15" hidden="0" customHeight="1">
      <x:c r="A460" s="21" t="str">
        <x:v>P0436</x:v>
      </x:c>
      <x:c r="B460" s="13" t="str">
        <x:v>فقرة</x:v>
      </x:c>
      <x:c r="C460" s="13" t="str">
        <x:v>MAP-113</x:v>
      </x:c>
      <x:c r="D460" s="13" t="str">
        <x:v>appendices/appendix-i/index.html#appendix-i-section-06</x:v>
      </x:c>
      <x:c r="E460" s="14" t="str">
        <x:v>• حاسوب Windows وكابل USB 3 وبرنامج Meta Quest Developer Hub عند تثبيت النسخة الداخلية أو تحديثها فقط.</x:v>
      </x:c>
    </x:row>
    <x:row r="461" ht="15" hidden="0" customHeight="1">
      <x:c r="A461" s="22" t="str">
        <x:v>P0437</x:v>
      </x:c>
      <x:c r="B461" s="16" t="str">
        <x:v>فقرة</x:v>
      </x:c>
      <x:c r="C461" s="16" t="str">
        <x:v>MAP-113</x:v>
      </x:c>
      <x:c r="D461" s="16" t="str">
        <x:v>appendices/appendix-i/index.html#appendix-i-section-06</x:v>
      </x:c>
      <x:c r="E461" s="17" t="str">
        <x:v>• حساب Meta مفعّل عليه وضع المطور عند استخدام التثبيت الداخلي.</x:v>
      </x:c>
    </x:row>
    <x:row r="462" ht="15" hidden="0" customHeight="1">
      <x:c r="A462" s="21" t="str">
        <x:v>P0438</x:v>
      </x:c>
      <x:c r="B462" s="13" t="str">
        <x:v>فقرة</x:v>
      </x:c>
      <x:c r="C462" s="13" t="str">
        <x:v>MAP-113</x:v>
      </x:c>
      <x:c r="D462" s="13" t="str">
        <x:v>appendices/appendix-i/index.html#appendix-i-section-06</x:v>
      </x:c>
      <x:c r="E462" s="14" t="str">
        <x:v>• شاشة خارجية أو البث من النظارة خيار مساعد لمتابعة الطالب، وليس شرطًا لعمل التطبيق.</x:v>
      </x:c>
    </x:row>
    <x:row r="463" ht="15" hidden="0" customHeight="1">
      <x:c r="A463" s="22" t="str">
        <x:v>P0439</x:v>
      </x:c>
      <x:c r="B463" s="16" t="str">
        <x:v>فقرة</x:v>
      </x:c>
      <x:c r="C463" s="16" t="str">
        <x:v>MAP-113</x:v>
      </x:c>
      <x:c r="D463" s="16" t="str">
        <x:v>appendices/appendix-i/index.html#appendix-i-section-06</x:v>
      </x:c>
      <x:c r="E463" s="17" t="str">
        <x:v>• إجراءات تنظيف مناسبة للنظارة ووسادة الوجه بين المستخدمين، وتنظيم جلسات قصيرة مع فواصل.</x:v>
      </x:c>
    </x:row>
    <x:row r="464" ht="15" hidden="0" customHeight="1">
      <x:c r="A464" s="21" t="str">
        <x:v>P0440</x:v>
      </x:c>
      <x:c r="B464" s="13" t="str">
        <x:v>فقرة</x:v>
      </x:c>
      <x:c r="C464" s="13" t="str">
        <x:v>MAP-114</x:v>
      </x:c>
      <x:c r="D464" s="13" t="str">
        <x:v>appendices/appendix-i/index.html#appendix-i-section-07</x:v>
      </x:c>
      <x:c r="E464" s="14" t="str">
        <x:v>متطلبات تقنية مختصرة</x:v>
      </x:c>
    </x:row>
    <x:row r="465" ht="60" hidden="0" customHeight="1">
      <x:c r="A465" s="22" t="str">
        <x:v>T020</x:v>
      </x:c>
      <x:c r="B465" s="16" t="str">
        <x:v>جدول</x:v>
      </x:c>
      <x:c r="C465" s="16" t="str">
        <x:v>MAP-114</x:v>
      </x:c>
      <x:c r="D465" s="16" t="str">
        <x:v>appendices/appendix-i/index.html#appendix-i-section-07</x:v>
      </x:c>
      <x:c r="E465" s="17" t="str">
        <x:v>نظام التشغيل المستهدف / Android/Meta Quest — تطبيق VR مستقل
الاتصال بالإنترنت / غير مطلوب لتشغيل الأنشطة المثبتة محليًا
الحاسوب أثناء الدرس / غير مطلوب بعد تثبيت التطبيق
طريقة التحكم / تتبع الرأس ووحدتا تحكم للحركة والإمساك والتفاعل
مساحة الاستخدام / مساحة آمنة وفق حدود النظارة؛ يمكن اعتماد الحركة الآنية لتقليل التنقل الجسدي</x:v>
      </x:c>
    </x:row>
    <x:row r="466" ht="15" hidden="0" customHeight="1">
      <x:c r="A466" s="21" t="str">
        <x:v>P0441</x:v>
      </x:c>
      <x:c r="B466" s="13" t="str">
        <x:v>فقرة</x:v>
      </x:c>
      <x:c r="C466" s="13" t="str">
        <x:v>MAP-114</x:v>
      </x:c>
      <x:c r="D466" s="13" t="str">
        <x:v>appendices/appendix-i/index.html#appendix-i-section-07</x:v>
      </x:c>
      <x:c r="E466" s="14" t="str"/>
    </x:row>
    <x:row r="467" ht="15" hidden="0" customHeight="1">
      <x:c r="A467" s="22" t="str">
        <x:v>P0442</x:v>
      </x:c>
      <x:c r="B467" s="16" t="str">
        <x:v>فقرة</x:v>
      </x:c>
      <x:c r="C467" s="16" t="str">
        <x:v>MAP-115</x:v>
      </x:c>
      <x:c r="D467" s="16" t="str">
        <x:v>appendices/appendix-i/index.html#appendix-i-section-08</x:v>
      </x:c>
      <x:c r="E467" s="17" t="str">
        <x:v>أداة التثبيت الداخلي للمعلم</x:v>
      </x:c>
    </x:row>
    <x:row r="468" ht="15" hidden="0" customHeight="1">
      <x:c r="A468" s="21" t="str">
        <x:v>P0443</x:v>
      </x:c>
      <x:c r="B468" s="13" t="str">
        <x:v>فقرة</x:v>
      </x:c>
      <x:c r="C468" s="13" t="str">
        <x:v>MAP-115</x:v>
      </x:c>
      <x:c r="D468" s="13" t="str">
        <x:v>appendices/appendix-i/index.html#appendix-i-section-08</x:v>
      </x:c>
      <x:c r="E468" s="14" t="str">
        <x:v>يمكن تنزيل Meta Quest Developer Hub من صفحة Meta الرسمية: Meta Quest Developer Hub for Windows</x:v>
      </x:c>
    </x:row>
    <x:row r="469" ht="15" hidden="0" customHeight="1">
      <x:c r="A469" s="22" t="str">
        <x:v>P0444</x:v>
      </x:c>
      <x:c r="B469" s="16" t="str">
        <x:v>فقرة</x:v>
      </x:c>
      <x:c r="C469" s="16" t="str">
        <x:v>MAP-115</x:v>
      </x:c>
      <x:c r="D469" s="16" t="str">
        <x:v>appendices/appendix-i/index.html#appendix-i-section-08</x:v>
      </x:c>
      <x:c r="E469" s="17" t="str"/>
    </x:row>
    <x:row r="470" ht="15" hidden="0" customHeight="1">
      <x:c r="A470" s="21" t="str">
        <x:v>P0445</x:v>
      </x:c>
      <x:c r="B470" s="13" t="str">
        <x:v>فقرة</x:v>
      </x:c>
      <x:c r="C470" s="13" t="str">
        <x:v>MAP-116</x:v>
      </x:c>
      <x:c r="D470" s="13" t="str">
        <x:v>appendices/appendix-i/index.html#appendix-i-section-09</x:v>
      </x:c>
      <x:c r="E470" s="14" t="str">
        <x:v>طريقة تثبيت التطبيق وتشغيله</x:v>
      </x:c>
    </x:row>
    <x:row r="471" ht="15" hidden="0" customHeight="1">
      <x:c r="A471" s="22" t="str">
        <x:v>P0446</x:v>
      </x:c>
      <x:c r="B471" s="16" t="str">
        <x:v>فقرة</x:v>
      </x:c>
      <x:c r="C471" s="16" t="str">
        <x:v>MAP-117</x:v>
      </x:c>
      <x:c r="D471" s="16" t="str">
        <x:v>appendices/appendix-i/index.html#appendix-i-section-10</x:v>
      </x:c>
      <x:c r="E471" s="17" t="str">
        <x:v>أ. التثبيت الأولي للنسخة الداخلية — ينفذه المعلم أو المسؤول التقني</x:v>
      </x:c>
    </x:row>
    <x:row r="472" ht="15" hidden="0" customHeight="1">
      <x:c r="A472" s="21" t="str">
        <x:v>P0447</x:v>
      </x:c>
      <x:c r="B472" s="13" t="str">
        <x:v>فقرة</x:v>
      </x:c>
      <x:c r="C472" s="13" t="str">
        <x:v>MAP-117</x:v>
      </x:c>
      <x:c r="D472" s="13" t="str">
        <x:v>appendices/appendix-i/index.html#appendix-i-section-10</x:v>
      </x:c>
      <x:c r="E472" s="14" t="str">
        <x:v>• 1. تشغيل نظارة Quest وتوصيلها بالحاسوب بكابل USB 3.</x:v>
      </x:c>
    </x:row>
    <x:row r="473" ht="15" hidden="0" customHeight="1">
      <x:c r="A473" s="22" t="str">
        <x:v>P0448</x:v>
      </x:c>
      <x:c r="B473" s="16" t="str">
        <x:v>فقرة</x:v>
      </x:c>
      <x:c r="C473" s="16" t="str">
        <x:v>MAP-117</x:v>
      </x:c>
      <x:c r="D473" s="16" t="str">
        <x:v>appendices/appendix-i/index.html#appendix-i-section-10</x:v>
      </x:c>
      <x:c r="E473" s="17" t="str">
        <x:v>• 2. الموافقة داخل النظارة على USB Debugging واختيار السماح الدائم لهذا الحاسوب عند ظهور الخيار.</x:v>
      </x:c>
    </x:row>
    <x:row r="474" ht="15" hidden="0" customHeight="1">
      <x:c r="A474" s="21" t="str">
        <x:v>P0449</x:v>
      </x:c>
      <x:c r="B474" s="13" t="str">
        <x:v>فقرة</x:v>
      </x:c>
      <x:c r="C474" s="13" t="str">
        <x:v>MAP-117</x:v>
      </x:c>
      <x:c r="D474" s="13" t="str">
        <x:v>appendices/appendix-i/index.html#appendix-i-section-10</x:v>
      </x:c>
      <x:c r="E474" s="14" t="str">
        <x:v>• 3. فتح Meta Quest Developer Hub ثم Device Manager والتحقق من ظهور الجهاز بحالة Connected.</x:v>
      </x:c>
    </x:row>
    <x:row r="475" ht="15" hidden="0" customHeight="1">
      <x:c r="A475" s="22" t="str">
        <x:v>P0450</x:v>
      </x:c>
      <x:c r="B475" s="16" t="str">
        <x:v>فقرة</x:v>
      </x:c>
      <x:c r="C475" s="16" t="str">
        <x:v>MAP-117</x:v>
      </x:c>
      <x:c r="D475" s="16" t="str">
        <x:v>appendices/appendix-i/index.html#appendix-i-section-10</x:v>
      </x:c>
      <x:c r="E475" s="17" t="str">
        <x:v>• 4. اختيار Add a build، ثم تحديد ملف GeometryVRLab_v1.0.0.apk وانتظار اكتمال التثبيت.</x:v>
      </x:c>
    </x:row>
    <x:row r="476" ht="15" hidden="0" customHeight="1">
      <x:c r="A476" s="21" t="str">
        <x:v>P0451</x:v>
      </x:c>
      <x:c r="B476" s="13" t="str">
        <x:v>فقرة</x:v>
      </x:c>
      <x:c r="C476" s="13" t="str">
        <x:v>MAP-117</x:v>
      </x:c>
      <x:c r="D476" s="13" t="str">
        <x:v>appendices/appendix-i/index.html#appendix-i-section-10</x:v>
      </x:c>
      <x:c r="E476" s="14" t="str">
        <x:v>• 5. تشغيل التطبيق مرة أولى والتحقق من التهيئة، ارتفاع الكاميرا، اليدين، المجسمات والأزرار.</x:v>
      </x:c>
    </x:row>
    <x:row r="477" ht="15" hidden="0" customHeight="1">
      <x:c r="A477" s="22" t="str">
        <x:v>P0452</x:v>
      </x:c>
      <x:c r="B477" s="16" t="str">
        <x:v>فقرة</x:v>
      </x:c>
      <x:c r="C477" s="16" t="str">
        <x:v>MAP-118</x:v>
      </x:c>
      <x:c r="D477" s="16" t="str">
        <x:v>appendices/appendix-i/index.html#appendix-i-section-11</x:v>
      </x:c>
      <x:c r="E477" s="17" t="str">
        <x:v>ب. تشغيل التطبيق من داخل النظارة</x:v>
      </x:c>
    </x:row>
    <x:row r="478" ht="15" hidden="0" customHeight="1">
      <x:c r="A478" s="21" t="str">
        <x:v>P0453</x:v>
      </x:c>
      <x:c r="B478" s="13" t="str">
        <x:v>فقرة</x:v>
      </x:c>
      <x:c r="C478" s="13" t="str">
        <x:v>MAP-118</x:v>
      </x:c>
      <x:c r="D478" s="13" t="str">
        <x:v>appendices/appendix-i/index.html#appendix-i-section-11</x:v>
      </x:c>
      <x:c r="E478" s="14" t="str">
        <x:v>• 1. الضغط على زر Meta في وحدة التحكم اليمنى لفتح القائمة الرئيسية.</x:v>
      </x:c>
    </x:row>
    <x:row r="479" ht="15" hidden="0" customHeight="1">
      <x:c r="A479" s="22" t="str">
        <x:v>P0454</x:v>
      </x:c>
      <x:c r="B479" s="16" t="str">
        <x:v>فقرة</x:v>
      </x:c>
      <x:c r="C479" s="16" t="str">
        <x:v>MAP-118</x:v>
      </x:c>
      <x:c r="D479" s="16" t="str">
        <x:v>appendices/appendix-i/index.html#appendix-i-section-11</x:v>
      </x:c>
      <x:c r="E479" s="17" t="str">
        <x:v>• 2. فتح شبكة Apps؛ وهي مكتبة التطبيقات في واجهة Quest الحديثة.</x:v>
      </x:c>
    </x:row>
    <x:row r="480" ht="15" hidden="0" customHeight="1">
      <x:c r="A480" s="21" t="str">
        <x:v>P0455</x:v>
      </x:c>
      <x:c r="B480" s="13" t="str">
        <x:v>فقرة</x:v>
      </x:c>
      <x:c r="C480" s="13" t="str">
        <x:v>MAP-118</x:v>
      </x:c>
      <x:c r="D480" s="13" t="str">
        <x:v>appendices/appendix-i/index.html#appendix-i-section-11</x:v>
      </x:c>
      <x:c r="E480" s="14" t="str">
        <x:v>• 3. فتح مرشح التطبيقات واختيار Unknown Sources لأن النسخة الحالية مثبّتة داخليًا.</x:v>
      </x:c>
    </x:row>
    <x:row r="481" ht="15" hidden="0" customHeight="1">
      <x:c r="A481" s="22" t="str">
        <x:v>P0456</x:v>
      </x:c>
      <x:c r="B481" s="16" t="str">
        <x:v>فقرة</x:v>
      </x:c>
      <x:c r="C481" s="16" t="str">
        <x:v>MAP-118</x:v>
      </x:c>
      <x:c r="D481" s="16" t="str">
        <x:v>appendices/appendix-i/index.html#appendix-i-section-11</x:v>
      </x:c>
      <x:c r="E481" s="17" t="str">
        <x:v>• 4. اختيار Geometry VR Lab أو معرّف الحزمة com.ibrahimieh.geometryvrlab.</x:v>
      </x:c>
    </x:row>
    <x:row r="482" ht="15" hidden="0" customHeight="1">
      <x:c r="A482" s="21" t="str">
        <x:v>P0457</x:v>
      </x:c>
      <x:c r="B482" s="13" t="str">
        <x:v>فقرة</x:v>
      </x:c>
      <x:c r="C482" s="13" t="str">
        <x:v>MAP-118</x:v>
      </x:c>
      <x:c r="D482" s="13" t="str">
        <x:v>appendices/appendix-i/index.html#appendix-i-section-11</x:v>
      </x:c>
      <x:c r="E482" s="14" t="str">
        <x:v>• 5. بدء التهيئة، ثم تنفيذ مهام التدريب قبل دخول مختبر المجسمات.</x:v>
      </x:c>
    </x:row>
    <x:row r="483" ht="15" hidden="0" customHeight="1">
      <x:c r="A483" s="22" t="str">
        <x:v>P0458</x:v>
      </x:c>
      <x:c r="B483" s="16" t="str">
        <x:v>فقرة</x:v>
      </x:c>
      <x:c r="C483" s="16" t="str">
        <x:v>MAP-119</x:v>
      </x:c>
      <x:c r="D483" s="16" t="str">
        <x:v>appendices/appendix-i/index.html#appendix-i-section-12</x:v>
      </x:c>
      <x:c r="E483" s="17" t="str">
        <x:v>ج. المسار التعليمي داخل التطبيق</x:v>
      </x:c>
    </x:row>
    <x:row r="484" ht="72" hidden="0" customHeight="1">
      <x:c r="A484" s="21" t="str">
        <x:v>T021</x:v>
      </x:c>
      <x:c r="B484" s="13" t="str">
        <x:v>جدول</x:v>
      </x:c>
      <x:c r="C484" s="13" t="str">
        <x:v>MAP-119</x:v>
      </x:c>
      <x:c r="D484" s="13" t="str">
        <x:v>appendices/appendix-i/index.html#appendix-i-section-12</x:v>
      </x:c>
      <x:c r="E484" s="14" t="str">
        <x:v>1. التهيئة / التعرّف إلى النظارة ويدي التحكم والنظر والحركة داخل الغرفة الافتراضية.
2. التدريب الحر / حمل المجسمات وتحريكها وإفلاتها ورميها ثم إعادتها إلى أماكنها.
3. تأكيد النجاح / الانتقال من Intro إلى Tasks ثم Success بعد إتمام المهام.
4. مختبر المجسمات / اختيار Cube أو Sphere أو Cylinder واستكشاف الخصائص.
5. أدوات الفهم / إظهار Labels وGuides، استخدام Reset، وتشغيل Auto Rotate وضبط سرعته.
6. الإرشاد والمتابعة / الاستماع إلى التوجيهات العربية عند بدء المهمة وإنجازها والانتقال، مع بقاء المعلم متابعًا للفهم.</x:v>
      </x:c>
    </x:row>
    <x:row r="485" ht="15" hidden="0" customHeight="1">
      <x:c r="A485" s="22" t="str">
        <x:v>P0459</x:v>
      </x:c>
      <x:c r="B485" s="16" t="str">
        <x:v>فقرة</x:v>
      </x:c>
      <x:c r="C485" s="16" t="str">
        <x:v>MAP-119</x:v>
      </x:c>
      <x:c r="D485" s="16" t="str">
        <x:v>appendices/appendix-i/index.html#appendix-i-section-12</x:v>
      </x:c>
      <x:c r="E485" s="17" t="str"/>
    </x:row>
    <x:row r="486" ht="24" hidden="0" customHeight="1">
      <x:c r="A486" s="21" t="str">
        <x:v>P0460</x:v>
      </x:c>
      <x:c r="B486" s="13" t="str">
        <x:v>فقرة</x:v>
      </x:c>
      <x:c r="C486" s="13" t="str">
        <x:v>MAP-119</x:v>
      </x:c>
      <x:c r="D486" s="13" t="str">
        <x:v>appendices/appendix-i/index.html#appendix-i-section-12</x:v>
      </x:c>
      <x:c r="E486" s="14" t="str">
        <x:v>دور المعلم هو توجيه الملاحظة وطرح الأسئلة وربط الخبرة الحسية بالمصطلح الهندسي، مع تجنب تقديم كل الإجابات قبل أن يدوّر الطالب المجسم ويراه من أكثر من جهة. ويساند الإرشاد الصوتي العربي هذا الدور بتقديم التعليمات الإجرائية والتشجيع وإشارات الانتقال، لكنه لا يستبدل الحوار التربوي أو متابعة الفهم.</x:v>
      </x:c>
    </x:row>
    <x:row r="487" ht="15" hidden="0" customHeight="1">
      <x:c r="A487" s="22" t="str">
        <x:v>P0461</x:v>
      </x:c>
      <x:c r="B487" s="16" t="str">
        <x:v>فقرة</x:v>
      </x:c>
      <x:c r="C487" s="16" t="str">
        <x:v>MAP-119</x:v>
      </x:c>
      <x:c r="D487" s="16" t="str">
        <x:v>appendices/appendix-i/index.html#appendix-i-section-12</x:v>
      </x:c>
      <x:c r="E487" s="17" t="str"/>
    </x:row>
    <x:row r="488" ht="15" hidden="0" customHeight="1">
      <x:c r="A488" s="21" t="str">
        <x:v>P0462</x:v>
      </x:c>
      <x:c r="B488" s="13" t="str">
        <x:v>فقرة</x:v>
      </x:c>
      <x:c r="C488" s="13" t="str">
        <x:v>MAP-120</x:v>
      </x:c>
      <x:c r="D488" s="13" t="str">
        <x:v>appendices/appendix-i/index.html#appendix-i-section-13</x:v>
      </x:c>
      <x:c r="E488" s="14" t="str">
        <x:v>صور من داخل التطبيق: الكرة والأسطوانة</x:v>
      </x:c>
    </x:row>
    <x:row r="489" ht="24" hidden="0" customHeight="1">
      <x:c r="A489" s="22" t="str">
        <x:v>T022</x:v>
      </x:c>
      <x:c r="B489" s="16" t="str">
        <x:v>جدول</x:v>
      </x:c>
      <x:c r="C489" s="16" t="str">
        <x:v>MAP-120</x:v>
      </x:c>
      <x:c r="D489" s="16" t="str">
        <x:v>appendices/appendix-i/index.html#appendix-i-section-13</x:v>
      </x:c>
      <x:c r="E489" s="17" t="str">
        <x:v> / 
شكل (ط-3): اختيار الأسطوانة وعرض معلوماتها. / شكل (ط-4): اختيار الكرة وإظهار دليل هندسي حولها.</x:v>
      </x:c>
    </x:row>
    <x:row r="490" ht="15" hidden="0" customHeight="1">
      <x:c r="A490" s="21" t="str">
        <x:v>P0463</x:v>
      </x:c>
      <x:c r="B490" s="13" t="str">
        <x:v>فقرة</x:v>
      </x:c>
      <x:c r="C490" s="13" t="str">
        <x:v>MAP-120</x:v>
      </x:c>
      <x:c r="D490" s="13" t="str">
        <x:v>appendices/appendix-i/index.html#appendix-i-section-13</x:v>
      </x:c>
      <x:c r="E490" s="14" t="str"/>
    </x:row>
    <x:row r="491" ht="15" hidden="0" customHeight="1">
      <x:c r="A491" s="22" t="str">
        <x:v>P0464</x:v>
      </x:c>
      <x:c r="B491" s="16" t="str">
        <x:v>فقرة</x:v>
      </x:c>
      <x:c r="C491" s="16" t="str">
        <x:v>MAP-120</x:v>
      </x:c>
      <x:c r="D491" s="16" t="str">
        <x:v>appendices/appendix-i/index.html#appendix-i-section-13</x:v>
      </x:c>
      <x:c r="E491" s="17" t="str"/>
    </x:row>
    <x:row r="492" ht="15" hidden="0" customHeight="1">
      <x:c r="A492" s="21" t="str">
        <x:v>P0465</x:v>
      </x:c>
      <x:c r="B492" s="13" t="str">
        <x:v>فقرة</x:v>
      </x:c>
      <x:c r="C492" s="13" t="str">
        <x:v>MAP-120</x:v>
      </x:c>
      <x:c r="D492" s="13" t="str">
        <x:v>appendices/appendix-i/index.html#appendix-i-section-13</x:v>
      </x:c>
      <x:c r="E492" s="14" t="str">
        <x:v>شكل (ط-5): استكشاف المكعب وإظهار الوجه والحافة والرأس بألوان مختلفة.</x:v>
      </x:c>
    </x:row>
    <x:row r="493" ht="24" hidden="0" customHeight="1">
      <x:c r="A493" s="22" t="str">
        <x:v>P0466</x:v>
      </x:c>
      <x:c r="B493" s="16" t="str">
        <x:v>فقرة</x:v>
      </x:c>
      <x:c r="C493" s="16" t="str">
        <x:v>MAP-120</x:v>
      </x:c>
      <x:c r="D493" s="16" t="str">
        <x:v>appendices/appendix-i/index.html#appendix-i-section-13</x:v>
      </x:c>
      <x:c r="E493" s="17" t="str">
        <x:v>توضح اللقطات أن الطالب لا يشاهد صورة ثابتة؛ بل يختار المجسم ويغيّر زاوية رؤيته، ويُظهر الأدلة والتسميات المرتبطة بخصائصه. ويتيح ذلك الانتقال من الرسم ثنائي الأبعاد إلى خبرة مجسمة قابلة للملاحظة والتفاعل.</x:v>
      </x:c>
    </x:row>
    <x:row r="494" ht="15" hidden="0" customHeight="1">
      <x:c r="A494" s="21" t="str">
        <x:v>P0467</x:v>
      </x:c>
      <x:c r="B494" s="13" t="str">
        <x:v>فقرة</x:v>
      </x:c>
      <x:c r="C494" s="13" t="str">
        <x:v>MAP-120</x:v>
      </x:c>
      <x:c r="D494" s="13" t="str">
        <x:v>appendices/appendix-i/index.html#appendix-i-section-13</x:v>
      </x:c>
      <x:c r="E494" s="14" t="str"/>
    </x:row>
    <x:row r="495" ht="15" hidden="0" customHeight="1">
      <x:c r="A495" s="22" t="str">
        <x:v>P0468</x:v>
      </x:c>
      <x:c r="B495" s="16" t="str">
        <x:v>فقرة</x:v>
      </x:c>
      <x:c r="C495" s="16" t="str">
        <x:v>MAP-121</x:v>
      </x:c>
      <x:c r="D495" s="16" t="str">
        <x:v>appendices/appendix-i/index.html#appendix-i-section-14</x:v>
      </x:c>
      <x:c r="E495" s="17" t="str">
        <x:v>صور من داخل التطبيق: تدوير المكعب والتوثيق المرئي</x:v>
      </x:c>
    </x:row>
    <x:row r="496" ht="15" hidden="0" customHeight="1">
      <x:c r="A496" s="21" t="str">
        <x:v>P0469</x:v>
      </x:c>
      <x:c r="B496" s="13" t="str">
        <x:v>فقرة</x:v>
      </x:c>
      <x:c r="C496" s="13" t="str">
        <x:v>MAP-121</x:v>
      </x:c>
      <x:c r="D496" s="13" t="str">
        <x:v>appendices/appendix-i/index.html#appendix-i-section-14</x:v>
      </x:c>
      <x:c r="E496" s="14" t="str"/>
    </x:row>
    <x:row r="497" ht="15" hidden="0" customHeight="1">
      <x:c r="A497" s="22" t="str">
        <x:v>P0470</x:v>
      </x:c>
      <x:c r="B497" s="16" t="str">
        <x:v>فقرة</x:v>
      </x:c>
      <x:c r="C497" s="16" t="str">
        <x:v>MAP-121</x:v>
      </x:c>
      <x:c r="D497" s="16" t="str">
        <x:v>appendices/appendix-i/index.html#appendix-i-section-14</x:v>
      </x:c>
      <x:c r="E497" s="17" t="str">
        <x:v>شكل (ط-6): المكعب بعد تغيير زاوية الرؤية، مع استمرار ظهور التسميات المكانية.</x:v>
      </x:c>
    </x:row>
    <x:row r="498" ht="15" hidden="0" customHeight="1">
      <x:c r="A498" s="21" t="str">
        <x:v>P0471</x:v>
      </x:c>
      <x:c r="B498" s="13" t="str">
        <x:v>فقرة</x:v>
      </x:c>
      <x:c r="C498" s="13" t="str">
        <x:v>MAP-122</x:v>
      </x:c>
      <x:c r="D498" s="13" t="str">
        <x:v>appendices/appendix-i/index.html#appendix-i-section-15</x:v>
      </x:c>
      <x:c r="E498" s="14" t="str">
        <x:v>الفيديو التوثيقي</x:v>
      </x:c>
    </x:row>
    <x:row r="499" ht="24" hidden="0" customHeight="1">
      <x:c r="A499" s="22" t="str">
        <x:v>P0472</x:v>
      </x:c>
      <x:c r="B499" s="16" t="str">
        <x:v>فقرة</x:v>
      </x:c>
      <x:c r="C499" s="16" t="str">
        <x:v>MAP-122</x:v>
      </x:c>
      <x:c r="D499" s="16" t="str">
        <x:v>appendices/appendix-i/index.html#appendix-i-section-15</x:v>
      </x:c>
      <x:c r="E499" s="17" t="str">
        <x:v>أُعدت نسخة مختصرة من التسجيل الأصلي بعد حذف المقاطع المهزوزة ولحظات اختفاء الكاميرا وظهور الغرفة الحقيقية. تبلغ مدة النسخة المختارة دقيقتين و43 ثانية، وتعرض التهيئة والتفاعل مع المجسمات والانتقال إلى مختبر المجسمات.</x:v>
      </x:c>
    </x:row>
    <x:row r="500" ht="48" hidden="0" customHeight="1">
      <x:c r="A500" s="21" t="str">
        <x:v>T023</x:v>
      </x:c>
      <x:c r="B500" s="13" t="str">
        <x:v>جدول</x:v>
      </x:c>
      <x:c r="C500" s="13" t="str">
        <x:v>MAP-122</x:v>
      </x:c>
      <x:c r="D500" s="13" t="str">
        <x:v>appendices/appendix-i/index.html#appendix-i-section-15</x:v>
      </x:c>
      <x:c r="E500" s="14" t="str">
        <x:v>اسم ملف الفيديو / Geometry_VR_Lab_Best_Clips.mp4
مدة الفيديو / 02:43
محتواه / التهيئة، الحركة، الإمساك، الانتقال، والمكعب والكرة والأسطوانة
طريقة إرفاقه / يُسلّم ملفًا رقميًا مرافقًا للبحث والعرض التقديمي</x:v>
      </x:c>
    </x:row>
    <x:row r="501" ht="15" hidden="0" customHeight="1">
      <x:c r="A501" s="22" t="str">
        <x:v>P0473</x:v>
      </x:c>
      <x:c r="B501" s="16" t="str">
        <x:v>فقرة</x:v>
      </x:c>
      <x:c r="C501" s="16" t="str">
        <x:v>MAP-122</x:v>
      </x:c>
      <x:c r="D501" s="16" t="str">
        <x:v>appendices/appendix-i/index.html#appendix-i-section-15</x:v>
      </x:c>
      <x:c r="E501" s="17" t="str"/>
    </x:row>
    <x:row r="502" ht="15" hidden="0" customHeight="1">
      <x:c r="A502" s="21" t="str">
        <x:v>P0474</x:v>
      </x:c>
      <x:c r="B502" s="13" t="str">
        <x:v>فقرة</x:v>
      </x:c>
      <x:c r="C502" s="13" t="str">
        <x:v>MAP-123</x:v>
      </x:c>
      <x:c r="D502" s="13" t="str">
        <x:v>appendices/appendix-i/index.html#appendix-i-section-16</x:v>
      </x:c>
      <x:c r="E502" s="14" t="str">
        <x:v>رابط التطبيق وحالة الإتاحة</x:v>
      </x:c>
    </x:row>
    <x:row r="503" ht="36" hidden="0" customHeight="1">
      <x:c r="A503" s="22" t="str">
        <x:v>P0475</x:v>
      </x:c>
      <x:c r="B503" s="16" t="str">
        <x:v>فقرة</x:v>
      </x:c>
      <x:c r="C503" s="16" t="str">
        <x:v>MAP-123</x:v>
      </x:c>
      <x:c r="D503" s="16" t="str">
        <x:v>appendices/appendix-i/index.html#appendix-i-section-16</x:v>
      </x:c>
      <x:c r="E503" s="17" t="str">
        <x:v>حتى تاريخ 28 تموز/يوليو 2026 لا يوجد رابط تنزيل عام للتطبيق؛ لأن ملف APK اختُبر داخليًا ولم يُرفع بعد إلى قناة Meta Alpha. لذلك تعتمد النسخة الحالية التثبيت عبر Meta Quest Developer Hub. عند رفع النسخة إلى Alpha يُضاف رابط الدعوة أو صفحة التوزيع هنا، مع رمز QR، من دون تغيير وصف النتائج التقنية الواردة في هذا الملحق.</x:v>
      </x:c>
    </x:row>
    <x:row r="504" ht="15" hidden="0" customHeight="1">
      <x:c r="A504" s="21" t="str">
        <x:v>P0476</x:v>
      </x:c>
      <x:c r="B504" s="13" t="str">
        <x:v>فقرة</x:v>
      </x:c>
      <x:c r="C504" s="13" t="str">
        <x:v>MAP-123</x:v>
      </x:c>
      <x:c r="D504" s="13" t="str">
        <x:v>appendices/appendix-i/index.html#appendix-i-section-16</x:v>
      </x:c>
      <x:c r="E504" s="14" t="str">
        <x:v>الصيغة المرجعية المقترحة بعد النشر: Geometry VR Lab — Alpha v1.0.0، إعداد وتطوير: زهدي زاهدة، 2026.</x:v>
      </x:c>
    </x:row>
    <x:row r="505" ht="15" hidden="0" customHeight="1">
      <x:c r="A505" s="22" t="str">
        <x:v>P0477</x:v>
      </x:c>
      <x:c r="B505" s="16" t="str">
        <x:v>فقرة</x:v>
      </x:c>
      <x:c r="C505" s="16" t="str">
        <x:v>MAP-124</x:v>
      </x:c>
      <x:c r="D505" s="16" t="str">
        <x:v>appendices/appendix-i/index.html#appendix-i-section-17</x:v>
      </x:c>
      <x:c r="E505" s="17" t="str">
        <x:v>صور إضافية من مرحلة التهيئة والتدريب العملي</x:v>
      </x:c>
    </x:row>
    <x:row r="506" ht="15" hidden="0" customHeight="1">
      <x:c r="A506" s="21" t="str">
        <x:v>P0478</x:v>
      </x:c>
      <x:c r="B506" s="13" t="str">
        <x:v>فقرة</x:v>
      </x:c>
      <x:c r="C506" s="13" t="str">
        <x:v>MAP-124</x:v>
      </x:c>
      <x:c r="D506" s="13" t="str">
        <x:v>appendices/appendix-i/index.html#appendix-i-section-17</x:v>
      </x:c>
      <x:c r="E506" s="14" t="str"/>
    </x:row>
    <x:row r="507" ht="15" hidden="0" customHeight="1">
      <x:c r="A507" s="22" t="str">
        <x:v>P0479</x:v>
      </x:c>
      <x:c r="B507" s="16" t="str">
        <x:v>فقرة</x:v>
      </x:c>
      <x:c r="C507" s="16" t="str">
        <x:v>MAP-124</x:v>
      </x:c>
      <x:c r="D507" s="16" t="str">
        <x:v>appendices/appendix-i/index.html#appendix-i-section-17</x:v>
      </x:c>
      <x:c r="E507" s="17" t="str">
        <x:v>شكل (ط-7): لوحة مهام التدريب داخل غرفة التهيئة، وتظهر المجسمات وزر RESET OBJECTS قبل الانتقال إلى مختبر المجسمات.</x:v>
      </x:c>
    </x:row>
    <x:row r="508" ht="15" hidden="0" customHeight="1">
      <x:c r="A508" s="21" t="str">
        <x:v>P0480</x:v>
      </x:c>
      <x:c r="B508" s="13" t="str">
        <x:v>فقرة</x:v>
      </x:c>
      <x:c r="C508" s="13" t="str">
        <x:v>MAP-124</x:v>
      </x:c>
      <x:c r="D508" s="13" t="str">
        <x:v>appendices/appendix-i/index.html#appendix-i-section-17</x:v>
      </x:c>
      <x:c r="E508" s="14" t="str"/>
    </x:row>
    <x:row r="509" ht="15" hidden="0" customHeight="1">
      <x:c r="A509" s="22" t="str">
        <x:v>P0481</x:v>
      </x:c>
      <x:c r="B509" s="16" t="str">
        <x:v>فقرة</x:v>
      </x:c>
      <x:c r="C509" s="16" t="str">
        <x:v>MAP-124</x:v>
      </x:c>
      <x:c r="D509" s="16" t="str">
        <x:v>appendices/appendix-i/index.html#appendix-i-section-17</x:v>
      </x:c>
      <x:c r="E509" s="17" t="str">
        <x:v>شكل (ط-8): تفاعل المستخدم مع الأسطوانة باستخدام وحدة التحكم، بما يوثّق عمل الإمساك والتحريك داخل التطبيق المستقل.</x:v>
      </x:c>
    </x:row>
    <x:row r="510" ht="15" hidden="0" customHeight="1">
      <x:c r="A510" s="21" t="str">
        <x:v>P0482</x:v>
      </x:c>
      <x:c r="B510" s="13" t="str">
        <x:v>فقرة</x:v>
      </x:c>
      <x:c r="C510" s="13" t="str">
        <x:v>MAP-125</x:v>
      </x:c>
      <x:c r="D510" s="13" t="str">
        <x:v>appendices/appendix-i/index.html#appendix-i-section-18</x:v>
      </x:c>
      <x:c r="E510" s="14" t="str">
        <x:v>التفاعل الحر مع المجسمات في البيئة الافتراضية</x:v>
      </x:c>
    </x:row>
    <x:row r="511" ht="15" hidden="0" customHeight="1">
      <x:c r="A511" s="22" t="str">
        <x:v>P0483</x:v>
      </x:c>
      <x:c r="B511" s="16" t="str">
        <x:v>فقرة</x:v>
      </x:c>
      <x:c r="C511" s="16" t="str">
        <x:v>MAP-125</x:v>
      </x:c>
      <x:c r="D511" s="16" t="str">
        <x:v>appendices/appendix-i/index.html#appendix-i-section-18</x:v>
      </x:c>
      <x:c r="E511" s="17" t="str"/>
    </x:row>
    <x:row r="512" ht="15" hidden="0" customHeight="1">
      <x:c r="A512" s="21" t="str">
        <x:v>P0484</x:v>
      </x:c>
      <x:c r="B512" s="13" t="str">
        <x:v>فقرة</x:v>
      </x:c>
      <x:c r="C512" s="13" t="str">
        <x:v>MAP-125</x:v>
      </x:c>
      <x:c r="D512" s="13" t="str">
        <x:v>appendices/appendix-i/index.html#appendix-i-section-18</x:v>
      </x:c>
      <x:c r="E512" s="14" t="str">
        <x:v>شكل (ط-9): الإمساك بالمكعب وتغيير موضعه داخل غرفة التهيئة، مع ظهور شعاع التفاعل من وحدة التحكم.</x:v>
      </x:c>
    </x:row>
    <x:row r="513" ht="36" hidden="0" customHeight="1">
      <x:c r="A513" s="23" t="str">
        <x:v>P0485</x:v>
      </x:c>
      <x:c r="B513" s="19" t="str">
        <x:v>فقرة</x:v>
      </x:c>
      <x:c r="C513" s="19" t="str">
        <x:v>MAP-125</x:v>
      </x:c>
      <x:c r="D513" s="19" t="str">
        <x:v>appendices/appendix-i/index.html#appendix-i-section-18</x:v>
      </x:c>
      <x:c r="E513" s="20" t="str">
        <x:v>تدعم هذه اللقطات الغرض التربوي لمرحلة التهيئة؛ إذ يُمنح الطالب وقتًا قصيرًا للتعرّف إلى أدوات التحكم والتقاط المجسمات وتحريكها وإفلاتها قبل الدخول في المحتوى الهندسي المنظّم. وبذلك تُخفَّض الصعوبة التقنية الأولية، ويصبح الانتباه في المرحلة التالية موجّهًا إلى خصائص المجسمات والعلاقات المكانية بدل الانشغال بطريقة استخدام النظارة.</x:v>
      </x:c>
    </x:row>
  </x:sheetData>
  <x:mergeCells>
    <x:mergeCell ref="A1:E1"/>
    <x:mergeCell ref="A2:E2"/>
    <x:mergeCell ref="A3:E3"/>
  </x:mergeCells>
  <x:pageMargins left="0.7" right="0.7" top="0.75" bottom="0.75" header="0.3" footer="0.3"/>
  <x:tableParts count="1">
    <x:tablePart xmlns:r="http://schemas.openxmlformats.org/officeDocument/2006/relationships" r:id="R67cf00fc127b4b3d"/>
  </x:tableParts>
</x:worksheet>
</file>